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firstSheet="10" activeTab="18"/>
  </bookViews>
  <sheets>
    <sheet name="Jan" sheetId="4" r:id="rId1"/>
    <sheet name="Feb" sheetId="7" r:id="rId2"/>
    <sheet name="March" sheetId="9" r:id="rId3"/>
    <sheet name="April " sheetId="14" r:id="rId4"/>
    <sheet name="May" sheetId="12" r:id="rId5"/>
    <sheet name="JUNE" sheetId="18" r:id="rId6"/>
    <sheet name="JULY" sheetId="23" r:id="rId7"/>
    <sheet name="AUG" sheetId="26" r:id="rId8"/>
    <sheet name="SEPT" sheetId="31" r:id="rId9"/>
    <sheet name="Monthly" sheetId="2" r:id="rId10"/>
    <sheet name="Weekly January" sheetId="6" r:id="rId11"/>
    <sheet name="Weekly-February" sheetId="8" r:id="rId12"/>
    <sheet name="Weekly-March" sheetId="3" r:id="rId13"/>
    <sheet name="Weekly-April" sheetId="10" r:id="rId14"/>
    <sheet name="Weekly-May" sheetId="15" r:id="rId15"/>
    <sheet name="Weekly-June" sheetId="19" r:id="rId16"/>
    <sheet name="Weekly-July" sheetId="20" r:id="rId17"/>
    <sheet name="Weekly-Aug" sheetId="27" r:id="rId18"/>
    <sheet name="Weekly-Sept" sheetId="32" r:id="rId19"/>
  </sheets>
  <externalReferences>
    <externalReference r:id="rId20"/>
    <externalReference r:id="rId21"/>
  </externalReferences>
  <definedNames>
    <definedName name="_xlnm.Print_Area" localSheetId="3">'April '!$F$24</definedName>
    <definedName name="_xlnm.Print_Area" localSheetId="5">JUNE!$F$24</definedName>
    <definedName name="_xlnm.Print_Area" localSheetId="2">March!$A$1:$J$39</definedName>
    <definedName name="_xlnm.Print_Area" localSheetId="4">May!$F$24</definedName>
    <definedName name="_xlnm.Print_Area" localSheetId="9">Monthly!$A$1:$H$57</definedName>
    <definedName name="_xlnm.Print_Area" localSheetId="13">'Weekly-April'!$B$1:$K$68</definedName>
    <definedName name="_xlnm.Print_Area" localSheetId="15">'Weekly-June'!$B$1:$K$67</definedName>
    <definedName name="_xlnm.Print_Area" localSheetId="12">'Weekly-March'!$B$1:$L$63</definedName>
    <definedName name="_xlnm.Print_Area" localSheetId="14">'Weekly-May'!$B$1:$K$71</definedName>
    <definedName name="_xlnm.Print_Area" localSheetId="16">'Weekly-July'!$B$1:$K$67</definedName>
    <definedName name="_xlnm.Print_Area" localSheetId="6">JULY!$A$1:$K$39</definedName>
    <definedName name="_xlnm.Print_Area" localSheetId="7">AUG!$A$1:$L$45</definedName>
    <definedName name="_xlnm.Print_Area" localSheetId="17">'Weekly-Aug'!$B$1:$K$67</definedName>
    <definedName name="_xlnm.Print_Area" localSheetId="8">SEPT!$A$1:$L$45</definedName>
    <definedName name="_xlnm.Print_Area" localSheetId="18">'Weekly-Sept'!$B$1:$K$67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<sst xmlns="http://schemas.openxmlformats.org/spreadsheetml/2006/main" count="1674" uniqueCount="200">
  <si>
    <t>FUEL</t>
  </si>
  <si>
    <t>Salary</t>
  </si>
  <si>
    <t>Maintenance</t>
  </si>
  <si>
    <t>Revenue</t>
  </si>
  <si>
    <t>PM 4</t>
  </si>
  <si>
    <t>PO No. / Ref</t>
  </si>
  <si>
    <t>DATE</t>
  </si>
  <si>
    <t>Amount</t>
  </si>
  <si>
    <t>Date</t>
  </si>
  <si>
    <t>Ref</t>
  </si>
  <si>
    <t>Description</t>
  </si>
  <si>
    <t>week 1</t>
  </si>
  <si>
    <t>2026-01</t>
  </si>
  <si>
    <t>JAN 2-9,2026</t>
  </si>
  <si>
    <t>week 2</t>
  </si>
  <si>
    <t>2026-02</t>
  </si>
  <si>
    <t>JAN 10-16,2026</t>
  </si>
  <si>
    <t>week 3</t>
  </si>
  <si>
    <t>2026-03</t>
  </si>
  <si>
    <t>JAN 17-23,2026</t>
  </si>
  <si>
    <t>week 4</t>
  </si>
  <si>
    <t>2026-05</t>
  </si>
  <si>
    <t>JAN 24-30,2026</t>
  </si>
  <si>
    <t>week 5</t>
  </si>
  <si>
    <t>2026-07</t>
  </si>
  <si>
    <t>Total</t>
  </si>
  <si>
    <t>PM 5</t>
  </si>
  <si>
    <t>2026-04</t>
  </si>
  <si>
    <t>PM 6</t>
  </si>
  <si>
    <t>2026-06</t>
  </si>
  <si>
    <t>PM 7</t>
  </si>
  <si>
    <t>week 6</t>
  </si>
  <si>
    <t>JAN 2-9,2027</t>
  </si>
  <si>
    <t>week 7</t>
  </si>
  <si>
    <t>JAN 10-16,2027</t>
  </si>
  <si>
    <t>week 8</t>
  </si>
  <si>
    <t>JAN 17-23,2027</t>
  </si>
  <si>
    <t>week 9</t>
  </si>
  <si>
    <t>JAN 24-30,2027</t>
  </si>
  <si>
    <t>week 10</t>
  </si>
  <si>
    <t>2026-08</t>
  </si>
  <si>
    <t>2026-09</t>
  </si>
  <si>
    <t>PM 8</t>
  </si>
  <si>
    <t>JAN 31-FEB 6,2026</t>
  </si>
  <si>
    <t>Jan 3-9,2026</t>
  </si>
  <si>
    <t>2026-11</t>
  </si>
  <si>
    <t>FEB 7-13,2026</t>
  </si>
  <si>
    <t>2026-13</t>
  </si>
  <si>
    <t>FEB 14-20,2026</t>
  </si>
  <si>
    <t>2026-16</t>
  </si>
  <si>
    <t>FEB 21-27,2026</t>
  </si>
  <si>
    <t>2026-10</t>
  </si>
  <si>
    <t>2026-14</t>
  </si>
  <si>
    <t>2026-15</t>
  </si>
  <si>
    <t>2026-07 &amp; 08</t>
  </si>
  <si>
    <t>2026-17</t>
  </si>
  <si>
    <t>FEB 28-MARCH 6,2026</t>
  </si>
  <si>
    <t>2026-18</t>
  </si>
  <si>
    <t>MARCH 7-13,2026</t>
  </si>
  <si>
    <t>MARCH 14-20,2026</t>
  </si>
  <si>
    <t>2026-23</t>
  </si>
  <si>
    <t>MARCH 21-27,2026</t>
  </si>
  <si>
    <t>MARCH 28- APRIL 3,2026</t>
  </si>
  <si>
    <t>2026-19</t>
  </si>
  <si>
    <t>2026-0001</t>
  </si>
  <si>
    <t>2026-0002</t>
  </si>
  <si>
    <t>Liter</t>
  </si>
  <si>
    <t>2026-0003</t>
  </si>
  <si>
    <t>APRIL 4 -  APRIL 10 ,2026</t>
  </si>
  <si>
    <t>2026-0011</t>
  </si>
  <si>
    <t>APRIL 11 - APRIL17 ,2026</t>
  </si>
  <si>
    <t>2026-0014</t>
  </si>
  <si>
    <t>APRIL 18 - APRIL 24, 2026</t>
  </si>
  <si>
    <t>APRIL 25- MAY 1, 2026</t>
  </si>
  <si>
    <t>2026-0005</t>
  </si>
  <si>
    <t>2026-0012</t>
  </si>
  <si>
    <t>2026-0016</t>
  </si>
  <si>
    <t>2026-0006</t>
  </si>
  <si>
    <t>2026-0008</t>
  </si>
  <si>
    <t>2026-0019</t>
  </si>
  <si>
    <t>2026-0009</t>
  </si>
  <si>
    <t>2026-0015</t>
  </si>
  <si>
    <t>MAY 2-8,2026</t>
  </si>
  <si>
    <t>2026-0023</t>
  </si>
  <si>
    <t>MAY 9-15,2026</t>
  </si>
  <si>
    <t>MAY 16-22,2026</t>
  </si>
  <si>
    <t>2026-0026</t>
  </si>
  <si>
    <t>MAY 23-30,206</t>
  </si>
  <si>
    <t>2026-0022</t>
  </si>
  <si>
    <t>2026-0024</t>
  </si>
  <si>
    <t>2026-0025</t>
  </si>
  <si>
    <t>2026-0028</t>
  </si>
  <si>
    <t>2026-0030</t>
  </si>
  <si>
    <t>2026-0029</t>
  </si>
  <si>
    <t>MAY 30-JUNE 5,2026</t>
  </si>
  <si>
    <t>2026-0033</t>
  </si>
  <si>
    <t>JUNE 6-JUNE 12,2027</t>
  </si>
  <si>
    <t>JUNE 13-JUNE 19,2027</t>
  </si>
  <si>
    <t>JUNE 20-JUNE 26,2027</t>
  </si>
  <si>
    <t>JUNE 26- JULY 3,2026</t>
  </si>
  <si>
    <t>2026-0031</t>
  </si>
  <si>
    <t>2026-0032</t>
  </si>
  <si>
    <t>PRICE/LITER</t>
  </si>
  <si>
    <t>JULY 4-JULY 10,2026</t>
  </si>
  <si>
    <t>JULY 11-JULY 17,2026</t>
  </si>
  <si>
    <t>JULY 18 -JULY 24,2026</t>
  </si>
  <si>
    <t>JULY 25-JULY 31,2026</t>
  </si>
  <si>
    <t>2026-0065</t>
  </si>
  <si>
    <t>AUG 1-AUG 7 2026</t>
  </si>
  <si>
    <t>2026-0068</t>
  </si>
  <si>
    <t>SAN VICENTE</t>
  </si>
  <si>
    <t>AUG 8-AUG 14 2026</t>
  </si>
  <si>
    <t>ABORLAN</t>
  </si>
  <si>
    <t>AUG 15-AUG 21 2026</t>
  </si>
  <si>
    <t>2-40FTR ABORLAN</t>
  </si>
  <si>
    <t>AUG 22-AUG 28 2026</t>
  </si>
  <si>
    <t>2026-0072</t>
  </si>
  <si>
    <t xml:space="preserve">BROOKES PT </t>
  </si>
  <si>
    <t>ELNIDO</t>
  </si>
  <si>
    <t>QUEZON</t>
  </si>
  <si>
    <t>2026-0066</t>
  </si>
  <si>
    <t>2026-0069</t>
  </si>
  <si>
    <t>2026-0070</t>
  </si>
  <si>
    <t>2026-0064</t>
  </si>
  <si>
    <t>2026-0073</t>
  </si>
  <si>
    <t>2 NARRA</t>
  </si>
  <si>
    <t>AUG 20,2026</t>
  </si>
  <si>
    <t>SEPT 26</t>
  </si>
  <si>
    <t>8/30/2026</t>
  </si>
  <si>
    <t>EL NIDO 40 FTR</t>
  </si>
  <si>
    <t>Aug 29-Sept 4</t>
  </si>
  <si>
    <t>ELNIDO/SAN VICENTE</t>
  </si>
  <si>
    <t>Sept 5 -Sept 11</t>
  </si>
  <si>
    <t>Sept 12 -Sept 18</t>
  </si>
  <si>
    <t>Sept 19 -Sept 25</t>
  </si>
  <si>
    <t>Sept 26 -Oct 2</t>
  </si>
  <si>
    <t>8/31/2026</t>
  </si>
  <si>
    <t>SEPT 9,2026</t>
  </si>
  <si>
    <t>SANVI 40FTR</t>
  </si>
  <si>
    <t>ROXAS/SANVI</t>
  </si>
  <si>
    <t>PALAWAN TRANSPORT CORP</t>
  </si>
  <si>
    <t>MONTHLY KPI</t>
  </si>
  <si>
    <t>FOR THE YEAR 2026</t>
  </si>
  <si>
    <t>TARGET /WEEK 350,000</t>
  </si>
  <si>
    <t>UNIT</t>
  </si>
  <si>
    <t>MONTHY ACC REVENUE</t>
  </si>
  <si>
    <t>JANUARY</t>
  </si>
  <si>
    <t>FEBRUARY</t>
  </si>
  <si>
    <t>%</t>
  </si>
  <si>
    <t xml:space="preserve">MARCH </t>
  </si>
  <si>
    <t>APRIL</t>
  </si>
  <si>
    <t>MAY</t>
  </si>
  <si>
    <t>JUNE</t>
  </si>
  <si>
    <t>JULY</t>
  </si>
  <si>
    <t>AUG</t>
  </si>
  <si>
    <t>SEPT</t>
  </si>
  <si>
    <t>REVENUE</t>
  </si>
  <si>
    <t>SALARY</t>
  </si>
  <si>
    <t>TRUCK DEPRECIATION</t>
  </si>
  <si>
    <t>MAINTENANCE</t>
  </si>
  <si>
    <t>TOTAL EXPENSES</t>
  </si>
  <si>
    <t>TOTAL GROSS INCOME (Actual)</t>
  </si>
  <si>
    <t>TARGET  GROSS INCOME ( TARGET- 45%)</t>
  </si>
  <si>
    <t>FAVORABLE ( UNFAVORABLE)</t>
  </si>
  <si>
    <t>TOTAL GROSS INCOME</t>
  </si>
  <si>
    <t>ADMIN COST - Salary/Mandatory Benefits/Rental /Transport/Revolving Fund</t>
  </si>
  <si>
    <t>ESTIMATED NET INCOME</t>
  </si>
  <si>
    <t>Excellent</t>
  </si>
  <si>
    <t>Satisfactory</t>
  </si>
  <si>
    <t>Failed</t>
  </si>
  <si>
    <t>KPI</t>
  </si>
  <si>
    <t>MONTH OF  January  2026</t>
  </si>
  <si>
    <t>GROSS PROFIT  45%   31,500</t>
  </si>
  <si>
    <t>WEEKLY REVENUE</t>
  </si>
  <si>
    <t>1st week</t>
  </si>
  <si>
    <t>2nd week</t>
  </si>
  <si>
    <t>3rd week</t>
  </si>
  <si>
    <t>4th week</t>
  </si>
  <si>
    <t>MONTH OF  February  2026</t>
  </si>
  <si>
    <t>MONTH OF  MARCH  2026</t>
  </si>
  <si>
    <t>5th week</t>
  </si>
  <si>
    <t>Fuel</t>
  </si>
  <si>
    <t>Truck Depreciation</t>
  </si>
  <si>
    <t>Total Direct Expenses</t>
  </si>
  <si>
    <t>MONTH OF  APRIL  2026</t>
  </si>
  <si>
    <t>PM 4 - 4 DAYS NO OT</t>
  </si>
  <si>
    <t>PM 5 - SUSPENDED- 3DAY</t>
  </si>
  <si>
    <t>PM 6 - OT AT EVER CARGO  kaya malaki ang revenue</t>
  </si>
  <si>
    <t xml:space="preserve">PM 7 - 3 DAYS lang po ang biyahe kaya maliit revenue wala </t>
  </si>
  <si>
    <t>TRANGKASO HELPER</t>
  </si>
  <si>
    <t>MONTH OF  MAY  2026</t>
  </si>
  <si>
    <t xml:space="preserve">1ST WEEK </t>
  </si>
  <si>
    <t xml:space="preserve">PM 4 - me leave dahil sa pamamaga ng paa </t>
  </si>
  <si>
    <t>PM 5 - may 6, 2026 hinde na  tumuloy duty naka pa fuel ng May5</t>
  </si>
  <si>
    <t xml:space="preserve">PM 6 - mababa ang revenue kapag city proper lang ang duty </t>
  </si>
  <si>
    <t>PM 7 - maraming cp trips at me ot brookes pt.</t>
  </si>
  <si>
    <t>MONTH OF  JUNE  2026</t>
  </si>
  <si>
    <t>MONTH OF  JULY  2026</t>
  </si>
  <si>
    <t>MONTH OF  aug  2026</t>
  </si>
  <si>
    <t>MONTH OF  SEPT 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</si>
</sst>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  <numFmt numFmtId="177" formatCode="_-* #,##0_-;\-* #,##0_-;_-* &quot;-&quot;??_-;_-@_-"/>
    <numFmt numFmtId="178" formatCode="_-* #,##0.00_-;\-* #,##0.00_-;_-* &quot;-&quot;??.00_-;_-@_-"/>
  </numFmts>
  <fonts count="41">
    <font>
      <sz val="11"/>
      <color rgb="FF000000"/>
      <name val="Arial"/>
      <charset val="134"/>
      <scheme val="minor"/>
    </font>
    <font>
      <sz val="16"/>
      <color rgb="FF000000"/>
      <name val="Arial"/>
      <charset val="134"/>
      <scheme val="minor"/>
    </font>
    <font>
      <sz val="16"/>
      <name val="Arial"/>
      <charset val="134"/>
      <scheme val="minor"/>
    </font>
    <font>
      <sz val="16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rgb="FF000000"/>
      <name val="Arial"/>
      <charset val="134"/>
      <scheme val="minor"/>
    </font>
    <font>
      <sz val="16"/>
      <name val="Aptos Narrow"/>
      <charset val="134"/>
    </font>
    <font>
      <sz val="16"/>
      <color theme="1"/>
      <name val="Aptos Narrow"/>
      <charset val="134"/>
    </font>
    <font>
      <u val="singleAccounting"/>
      <sz val="16"/>
      <name val="Aptos Narrow"/>
      <charset val="134"/>
    </font>
    <font>
      <u val="singleAccounting"/>
      <sz val="16"/>
      <name val="Arial"/>
      <charset val="134"/>
      <scheme val="minor"/>
    </font>
    <font>
      <u val="singleAccounting"/>
      <sz val="16"/>
      <color theme="1"/>
      <name val="Aptos Narrow"/>
      <charset val="134"/>
    </font>
    <font>
      <u val="singleAccounting"/>
      <sz val="16"/>
      <color theme="1"/>
      <name val="Arial"/>
      <charset val="134"/>
      <scheme val="minor"/>
    </font>
    <font>
      <u val="singleAccounting"/>
      <sz val="16"/>
      <color rgb="FF000000"/>
      <name val="Arial"/>
      <charset val="134"/>
      <scheme val="minor"/>
    </font>
    <font>
      <sz val="14"/>
      <color theme="1"/>
      <name val="Arial"/>
      <charset val="134"/>
      <scheme val="minor"/>
    </font>
    <font>
      <sz val="12"/>
      <name val="Arial"/>
      <charset val="134"/>
      <scheme val="minor"/>
    </font>
    <font>
      <sz val="16"/>
      <color rgb="FFFF0000"/>
      <name val="Arial"/>
      <charset val="134"/>
      <scheme val="minor"/>
    </font>
    <font>
      <sz val="14"/>
      <color theme="1"/>
      <name val="Aptos Narrow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9"/>
      <color rgb="FF000000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29B9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3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15" borderId="6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4" borderId="0" xfId="1" applyFont="1" applyFill="1"/>
    <xf numFmtId="0" fontId="2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3" fontId="0" fillId="0" borderId="0" xfId="1" applyFont="1"/>
    <xf numFmtId="0" fontId="3" fillId="0" borderId="0" xfId="0" applyFont="1"/>
    <xf numFmtId="43" fontId="1" fillId="0" borderId="0" xfId="1" applyFont="1"/>
    <xf numFmtId="0" fontId="3" fillId="5" borderId="0" xfId="0" applyFont="1" applyFill="1"/>
    <xf numFmtId="43" fontId="4" fillId="5" borderId="1" xfId="1" applyFont="1" applyFill="1" applyBorder="1"/>
    <xf numFmtId="43" fontId="5" fillId="0" borderId="0" xfId="1" applyFont="1"/>
    <xf numFmtId="43" fontId="4" fillId="5" borderId="0" xfId="1" applyFont="1" applyFill="1"/>
    <xf numFmtId="43" fontId="4" fillId="0" borderId="0" xfId="1" applyFont="1"/>
    <xf numFmtId="176" fontId="1" fillId="0" borderId="0" xfId="1" applyNumberFormat="1" applyFont="1" applyAlignment="1">
      <alignment horizontal="center"/>
    </xf>
    <xf numFmtId="43" fontId="1" fillId="0" borderId="0" xfId="1" applyFont="1" applyAlignment="1">
      <alignment horizontal="center"/>
    </xf>
    <xf numFmtId="43" fontId="3" fillId="0" borderId="0" xfId="1" applyFont="1"/>
    <xf numFmtId="43" fontId="6" fillId="2" borderId="0" xfId="1" applyFont="1" applyFill="1"/>
    <xf numFmtId="43" fontId="2" fillId="2" borderId="0" xfId="1" applyFont="1" applyFill="1"/>
    <xf numFmtId="43" fontId="6" fillId="6" borderId="2" xfId="1" applyFont="1" applyFill="1" applyBorder="1"/>
    <xf numFmtId="43" fontId="2" fillId="0" borderId="0" xfId="1" applyFont="1"/>
    <xf numFmtId="43" fontId="7" fillId="0" borderId="0" xfId="1" applyFont="1"/>
    <xf numFmtId="43" fontId="8" fillId="6" borderId="2" xfId="1" applyFont="1" applyFill="1" applyBorder="1"/>
    <xf numFmtId="43" fontId="9" fillId="0" borderId="0" xfId="1" applyFont="1"/>
    <xf numFmtId="43" fontId="10" fillId="0" borderId="0" xfId="1" applyFont="1"/>
    <xf numFmtId="43" fontId="11" fillId="0" borderId="0" xfId="1" applyFont="1"/>
    <xf numFmtId="43" fontId="12" fillId="0" borderId="0" xfId="1" applyFont="1"/>
    <xf numFmtId="43" fontId="2" fillId="3" borderId="0" xfId="0" applyNumberFormat="1" applyFont="1" applyFill="1"/>
    <xf numFmtId="43" fontId="6" fillId="3" borderId="0" xfId="1" applyFont="1" applyFill="1"/>
    <xf numFmtId="43" fontId="2" fillId="3" borderId="0" xfId="1" applyFont="1" applyFill="1"/>
    <xf numFmtId="0" fontId="13" fillId="0" borderId="0" xfId="0" applyFont="1" applyAlignment="1">
      <alignment horizontal="left" wrapText="1"/>
    </xf>
    <xf numFmtId="0" fontId="5" fillId="0" borderId="0" xfId="0" applyFont="1"/>
    <xf numFmtId="43" fontId="14" fillId="4" borderId="0" xfId="1" applyFont="1" applyFill="1"/>
    <xf numFmtId="43" fontId="15" fillId="0" borderId="0" xfId="1" applyFont="1"/>
    <xf numFmtId="43" fontId="9" fillId="3" borderId="0" xfId="1" applyFont="1" applyFill="1"/>
    <xf numFmtId="9" fontId="16" fillId="0" borderId="0" xfId="0" applyNumberFormat="1" applyFont="1" applyBorder="1"/>
    <xf numFmtId="0" fontId="14" fillId="4" borderId="0" xfId="0" applyFont="1" applyFill="1"/>
    <xf numFmtId="0" fontId="3" fillId="2" borderId="0" xfId="0" applyFont="1" applyFill="1"/>
    <xf numFmtId="43" fontId="15" fillId="2" borderId="0" xfId="1" applyFont="1" applyFill="1"/>
    <xf numFmtId="43" fontId="3" fillId="2" borderId="0" xfId="1" applyFont="1" applyFill="1"/>
    <xf numFmtId="43" fontId="1" fillId="2" borderId="0" xfId="1" applyFont="1" applyFill="1"/>
    <xf numFmtId="43" fontId="3" fillId="7" borderId="0" xfId="1" applyFont="1" applyFill="1"/>
    <xf numFmtId="43" fontId="15" fillId="3" borderId="0" xfId="1" applyFont="1" applyFill="1"/>
    <xf numFmtId="43" fontId="1" fillId="3" borderId="0" xfId="1" applyFont="1" applyFill="1"/>
    <xf numFmtId="0" fontId="5" fillId="4" borderId="0" xfId="0" applyFont="1" applyFill="1"/>
    <xf numFmtId="43" fontId="15" fillId="4" borderId="0" xfId="1" applyFont="1" applyFill="1"/>
    <xf numFmtId="43" fontId="1" fillId="4" borderId="0" xfId="1" applyFont="1" applyFill="1"/>
    <xf numFmtId="0" fontId="3" fillId="8" borderId="0" xfId="0" applyFont="1" applyFill="1"/>
    <xf numFmtId="0" fontId="3" fillId="9" borderId="0" xfId="0" applyFont="1" applyFill="1"/>
    <xf numFmtId="0" fontId="3" fillId="7" borderId="0" xfId="0" applyFont="1" applyFill="1"/>
    <xf numFmtId="0" fontId="1" fillId="10" borderId="0" xfId="0" applyFont="1" applyFill="1"/>
    <xf numFmtId="0" fontId="1" fillId="11" borderId="0" xfId="0" applyFont="1" applyFill="1"/>
    <xf numFmtId="43" fontId="7" fillId="2" borderId="0" xfId="1" applyFont="1" applyFill="1"/>
    <xf numFmtId="0" fontId="1" fillId="0" borderId="0" xfId="0" applyFont="1" applyAlignment="1">
      <alignment horizontal="center"/>
    </xf>
    <xf numFmtId="0" fontId="0" fillId="2" borderId="0" xfId="0" applyFill="1"/>
    <xf numFmtId="43" fontId="0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43" fontId="1" fillId="0" borderId="0" xfId="0" applyNumberFormat="1" applyFont="1"/>
    <xf numFmtId="43" fontId="2" fillId="3" borderId="0" xfId="1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43" fontId="1" fillId="2" borderId="0" xfId="1" applyFont="1" applyFill="1" applyAlignment="1">
      <alignment horizontal="center"/>
    </xf>
    <xf numFmtId="43" fontId="1" fillId="3" borderId="0" xfId="1" applyFont="1" applyFill="1" applyAlignment="1">
      <alignment horizontal="center"/>
    </xf>
    <xf numFmtId="43" fontId="3" fillId="4" borderId="0" xfId="1" applyFont="1" applyFill="1"/>
    <xf numFmtId="43" fontId="1" fillId="4" borderId="0" xfId="1" applyFont="1" applyFill="1" applyAlignment="1">
      <alignment horizontal="center"/>
    </xf>
    <xf numFmtId="0" fontId="3" fillId="5" borderId="0" xfId="0" applyFont="1" applyFill="1" applyAlignment="1">
      <alignment wrapText="1"/>
    </xf>
    <xf numFmtId="43" fontId="6" fillId="6" borderId="0" xfId="1" applyFont="1" applyFill="1" applyBorder="1"/>
    <xf numFmtId="43" fontId="1" fillId="3" borderId="0" xfId="0" applyNumberFormat="1" applyFont="1" applyFill="1"/>
    <xf numFmtId="43" fontId="1" fillId="12" borderId="0" xfId="1" applyFont="1" applyFill="1" applyAlignment="1">
      <alignment horizontal="center"/>
    </xf>
    <xf numFmtId="0" fontId="15" fillId="0" borderId="0" xfId="1" applyNumberFormat="1" applyFont="1"/>
    <xf numFmtId="0" fontId="0" fillId="4" borderId="0" xfId="0" applyFill="1"/>
    <xf numFmtId="176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" fillId="0" borderId="0" xfId="0" applyFont="1" applyFill="1" applyAlignment="1"/>
    <xf numFmtId="58" fontId="18" fillId="0" borderId="0" xfId="0" applyNumberFormat="1" applyFont="1" applyFill="1" applyAlignment="1">
      <alignment horizontal="center"/>
    </xf>
    <xf numFmtId="43" fontId="18" fillId="0" borderId="0" xfId="1" applyFont="1"/>
    <xf numFmtId="0" fontId="0" fillId="0" borderId="0" xfId="0" applyFont="1"/>
    <xf numFmtId="43" fontId="19" fillId="0" borderId="0" xfId="1" applyFont="1"/>
    <xf numFmtId="58" fontId="0" fillId="0" borderId="0" xfId="0" applyNumberFormat="1"/>
    <xf numFmtId="0" fontId="0" fillId="4" borderId="0" xfId="0" applyFont="1" applyFill="1"/>
    <xf numFmtId="43" fontId="0" fillId="4" borderId="0" xfId="1" applyFont="1" applyFill="1"/>
    <xf numFmtId="176" fontId="17" fillId="0" borderId="0" xfId="0" applyNumberFormat="1" applyFont="1" applyFill="1" applyAlignment="1">
      <alignment horizontal="center"/>
    </xf>
    <xf numFmtId="177" fontId="0" fillId="0" borderId="0" xfId="1" applyNumberFormat="1" applyFont="1"/>
    <xf numFmtId="178" fontId="0" fillId="0" borderId="0" xfId="1" applyNumberFormat="1" applyFont="1"/>
    <xf numFmtId="43" fontId="0" fillId="4" borderId="0" xfId="0" applyNumberFormat="1" applyFill="1"/>
    <xf numFmtId="177" fontId="0" fillId="4" borderId="0" xfId="1" applyNumberFormat="1" applyFont="1" applyFill="1"/>
    <xf numFmtId="0" fontId="20" fillId="0" borderId="0" xfId="0" applyFont="1" applyFill="1" applyAlignment="1">
      <alignment horizontal="center"/>
    </xf>
    <xf numFmtId="176" fontId="0" fillId="0" borderId="0" xfId="0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vertical="center"/>
    </xf>
    <xf numFmtId="43" fontId="0" fillId="0" borderId="0" xfId="1" applyFont="1" applyAlignment="1"/>
    <xf numFmtId="43" fontId="17" fillId="0" borderId="0" xfId="1" applyFont="1" applyAlignment="1">
      <alignment horizontal="center"/>
    </xf>
    <xf numFmtId="43" fontId="17" fillId="0" borderId="0" xfId="1" applyFont="1" applyFill="1" applyAlignment="1">
      <alignment horizontal="right" vertical="center"/>
    </xf>
    <xf numFmtId="178" fontId="0" fillId="0" borderId="0" xfId="1" applyNumberFormat="1" applyFont="1" applyAlignment="1">
      <alignment horizontal="center" vertical="center"/>
    </xf>
    <xf numFmtId="0" fontId="18" fillId="0" borderId="0" xfId="0" applyFont="1" applyFill="1" applyAlignment="1">
      <alignment horizontal="center"/>
    </xf>
    <xf numFmtId="176" fontId="0" fillId="0" borderId="0" xfId="0" applyNumberFormat="1" applyFont="1"/>
    <xf numFmtId="0" fontId="0" fillId="0" borderId="0" xfId="0" applyFont="1" applyFill="1" applyAlignment="1"/>
    <xf numFmtId="177" fontId="0" fillId="0" borderId="0" xfId="1" applyNumberFormat="1" applyFont="1" applyAlignment="1">
      <alignment vertical="center"/>
    </xf>
    <xf numFmtId="58" fontId="0" fillId="0" borderId="0" xfId="0" applyNumberFormat="1" applyFont="1"/>
    <xf numFmtId="0" fontId="21" fillId="4" borderId="0" xfId="0" applyFont="1" applyFill="1"/>
    <xf numFmtId="43" fontId="21" fillId="4" borderId="0" xfId="1" applyFont="1" applyFill="1"/>
    <xf numFmtId="176" fontId="1" fillId="0" borderId="0" xfId="1" applyNumberFormat="1" applyFont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26</xdr:row>
      <xdr:rowOff>0</xdr:rowOff>
    </xdr:from>
    <xdr:ext cx="184731" cy="254557"/>
    <xdr:sp>
      <xdr:nvSpPr>
        <xdr:cNvPr id="4" name="TextBox 3"/>
        <xdr:cNvSpPr txBox="1"/>
      </xdr:nvSpPr>
      <xdr:spPr>
        <a:xfrm>
          <a:off x="11706225" y="678180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14449425" y="678180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9810750" y="7038975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8877300" y="678180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9686925" y="823849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9553575" y="823849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9553575" y="823849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1162050</xdr:colOff>
      <xdr:row>26</xdr:row>
      <xdr:rowOff>0</xdr:rowOff>
    </xdr:from>
    <xdr:ext cx="184731" cy="254557"/>
    <xdr:sp>
      <xdr:nvSpPr>
        <xdr:cNvPr id="2" name="TextBox 1"/>
        <xdr:cNvSpPr txBox="1"/>
      </xdr:nvSpPr>
      <xdr:spPr>
        <a:xfrm>
          <a:off x="9820275" y="8238490"/>
          <a:ext cx="184150" cy="254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ekly-Janua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ekly-February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ekly-Januar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ekly-Febru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78"/>
  <sheetViews>
    <sheetView topLeftCell="A59" workbookViewId="0">
      <selection activeCell="A1" sqref="A1:I71"/>
    </sheetView>
  </sheetViews>
  <sheetFormatPr defaultColWidth="9" defaultRowHeight="14.25"/>
  <cols>
    <col min="1" max="1" width="11.125" customWidth="1"/>
    <col min="2" max="3" width="13.875" customWidth="1"/>
    <col min="4" max="4" width="16" style="9" customWidth="1"/>
    <col min="5" max="5" width="13.875" customWidth="1"/>
    <col min="6" max="6" width="16.25" style="9" customWidth="1"/>
    <col min="7" max="7" width="11.875" customWidth="1"/>
    <col min="8" max="8" width="14.375" customWidth="1"/>
    <col min="9" max="9" width="17" style="9" customWidth="1"/>
  </cols>
  <sheetData>
    <row r="3" spans="1:10">
      <c r="B3" s="74" t="s">
        <v>0</v>
      </c>
      <c r="C3" s="74"/>
      <c r="D3" s="75"/>
      <c r="E3" s="74" t="s">
        <v>1</v>
      </c>
      <c r="F3" s="75"/>
      <c r="G3" s="74" t="s">
        <v>2</v>
      </c>
      <c r="H3" s="74"/>
      <c r="I3" s="74"/>
      <c r="J3" t="s">
        <v>3</v>
      </c>
    </row>
    <row r="4" ht="20.25" spans="1:10">
      <c r="A4" s="2" t="s">
        <v>4</v>
      </c>
      <c r="B4" s="81" t="s">
        <v>5</v>
      </c>
      <c r="C4" s="81" t="s">
        <v>6</v>
      </c>
      <c r="D4" s="9" t="s">
        <v>7</v>
      </c>
      <c r="E4" s="81" t="s">
        <v>8</v>
      </c>
      <c r="F4" s="9" t="s">
        <v>7</v>
      </c>
      <c r="G4" s="81" t="s">
        <v>9</v>
      </c>
      <c r="H4" s="81" t="s">
        <v>10</v>
      </c>
      <c r="I4" s="9" t="s">
        <v>7</v>
      </c>
    </row>
    <row r="5" ht="20.25" spans="1:10">
      <c r="A5" s="1" t="s">
        <v>11</v>
      </c>
      <c r="B5" s="81" t="s">
        <v>12</v>
      </c>
      <c r="C5" s="81"/>
      <c r="D5" s="9">
        <v>18414</v>
      </c>
      <c r="E5" s="81" t="s">
        <v>13</v>
      </c>
      <c r="F5" s="9">
        <v>11220</v>
      </c>
    </row>
    <row r="6" ht="20.25" spans="1:10">
      <c r="A6" s="1" t="s">
        <v>14</v>
      </c>
      <c r="B6" s="81" t="s">
        <v>15</v>
      </c>
      <c r="C6" s="81"/>
      <c r="D6" s="9">
        <v>12086</v>
      </c>
      <c r="E6" s="81" t="s">
        <v>16</v>
      </c>
      <c r="F6" s="9">
        <v>12770</v>
      </c>
    </row>
    <row r="7" ht="20.25" spans="1:10">
      <c r="A7" s="1" t="s">
        <v>17</v>
      </c>
      <c r="B7" s="81" t="s">
        <v>18</v>
      </c>
      <c r="C7" s="81"/>
      <c r="D7" s="9">
        <v>9094.5</v>
      </c>
      <c r="E7" s="81" t="s">
        <v>19</v>
      </c>
      <c r="F7" s="9">
        <v>10545</v>
      </c>
    </row>
    <row r="8" ht="20.25" spans="1:10">
      <c r="A8" s="1" t="s">
        <v>20</v>
      </c>
      <c r="B8" s="81" t="s">
        <v>21</v>
      </c>
      <c r="C8" s="81"/>
      <c r="D8" s="9">
        <v>12526</v>
      </c>
      <c r="E8" s="81" t="s">
        <v>22</v>
      </c>
      <c r="F8" s="9">
        <v>9285</v>
      </c>
    </row>
    <row r="9" ht="20.25" spans="1:10">
      <c r="A9" s="1" t="s">
        <v>23</v>
      </c>
      <c r="B9" s="81" t="s">
        <v>24</v>
      </c>
      <c r="C9" s="81"/>
      <c r="D9" s="9">
        <v>10885.1</v>
      </c>
      <c r="E9" s="83"/>
      <c r="G9" s="81"/>
      <c r="H9" s="81"/>
    </row>
    <row r="10" ht="20.25" spans="1:10">
      <c r="A10" s="1"/>
      <c r="B10" s="81"/>
      <c r="C10" s="81"/>
      <c r="E10" s="9"/>
      <c r="G10" s="9"/>
      <c r="H10" s="9"/>
    </row>
    <row r="11" ht="20.25" spans="1:10">
      <c r="A11" s="1"/>
      <c r="B11" s="81"/>
      <c r="C11" s="81"/>
      <c r="E11" s="9"/>
      <c r="G11" s="9"/>
      <c r="H11" s="9"/>
    </row>
    <row r="12" s="104" customFormat="1" ht="20.25" spans="1:10">
      <c r="A12" s="4" t="s">
        <v>25</v>
      </c>
      <c r="D12" s="105">
        <f>SUM(D5:D11)</f>
        <v>63005.6</v>
      </c>
      <c r="E12" s="105"/>
      <c r="F12" s="105">
        <f>SUM(F5:F11)</f>
        <v>43820</v>
      </c>
      <c r="G12" s="105"/>
      <c r="H12" s="105"/>
      <c r="I12" s="105">
        <f>SUM(I5:I11)</f>
        <v>0</v>
      </c>
    </row>
    <row r="13" ht="20.25" spans="1:10">
      <c r="A13" s="1"/>
      <c r="B13" s="74" t="s">
        <v>0</v>
      </c>
      <c r="C13" s="74"/>
      <c r="D13" s="75"/>
      <c r="E13" s="74" t="s">
        <v>1</v>
      </c>
      <c r="F13" s="75"/>
      <c r="G13" s="74" t="s">
        <v>2</v>
      </c>
      <c r="H13" s="74"/>
      <c r="I13" s="74"/>
    </row>
    <row r="14" ht="20.25" spans="1:10">
      <c r="A14" s="2" t="s">
        <v>26</v>
      </c>
      <c r="B14" s="81" t="s">
        <v>5</v>
      </c>
      <c r="C14" s="81" t="s">
        <v>6</v>
      </c>
      <c r="D14" s="9" t="s">
        <v>7</v>
      </c>
      <c r="E14" s="81" t="s">
        <v>8</v>
      </c>
      <c r="F14" s="9" t="s">
        <v>7</v>
      </c>
      <c r="G14" s="81" t="s">
        <v>9</v>
      </c>
      <c r="H14" s="81" t="s">
        <v>10</v>
      </c>
      <c r="I14" s="9" t="s">
        <v>7</v>
      </c>
    </row>
    <row r="15" ht="20.25" spans="1:10">
      <c r="A15" s="1" t="s">
        <v>11</v>
      </c>
      <c r="B15" s="81" t="s">
        <v>12</v>
      </c>
      <c r="C15" s="81"/>
      <c r="D15" s="9">
        <v>18414</v>
      </c>
      <c r="E15" s="81" t="s">
        <v>13</v>
      </c>
      <c r="F15" s="9">
        <v>8255</v>
      </c>
    </row>
    <row r="16" ht="20.25" spans="1:10">
      <c r="A16" s="1" t="s">
        <v>14</v>
      </c>
      <c r="B16" s="81" t="s">
        <v>15</v>
      </c>
      <c r="C16" s="81"/>
      <c r="D16" s="9">
        <v>6043</v>
      </c>
      <c r="E16" s="81" t="s">
        <v>16</v>
      </c>
      <c r="F16" s="9">
        <v>7300</v>
      </c>
    </row>
    <row r="17" ht="20.25" spans="1:9">
      <c r="A17" s="1" t="s">
        <v>17</v>
      </c>
      <c r="B17" s="81" t="s">
        <v>18</v>
      </c>
      <c r="C17" s="81"/>
      <c r="D17" s="9">
        <v>9094.5</v>
      </c>
      <c r="E17" s="81" t="s">
        <v>19</v>
      </c>
      <c r="F17" s="9">
        <v>10145</v>
      </c>
    </row>
    <row r="18" ht="20.25" spans="1:9">
      <c r="A18" s="1" t="s">
        <v>20</v>
      </c>
      <c r="B18" s="81" t="s">
        <v>27</v>
      </c>
      <c r="C18" s="81"/>
      <c r="D18" s="9">
        <v>12126</v>
      </c>
      <c r="E18" s="81" t="s">
        <v>22</v>
      </c>
      <c r="F18" s="9">
        <v>10760</v>
      </c>
    </row>
    <row r="19" ht="20.25" spans="1:9">
      <c r="A19" s="1" t="s">
        <v>23</v>
      </c>
      <c r="B19" s="81" t="s">
        <v>24</v>
      </c>
      <c r="C19" s="81"/>
      <c r="D19" s="9">
        <v>10885.1</v>
      </c>
    </row>
    <row r="20" ht="20.25" spans="1:9">
      <c r="A20" s="1"/>
    </row>
    <row r="21" ht="20.25" spans="1:9">
      <c r="A21" s="1"/>
    </row>
    <row r="22" s="72" customFormat="1" ht="20.25" spans="1:9">
      <c r="A22" s="5"/>
      <c r="D22" s="85">
        <f>SUM(D15:D19)</f>
        <v>56562.6</v>
      </c>
      <c r="F22" s="85">
        <f>SUM(F15:F19)</f>
        <v>36460</v>
      </c>
      <c r="I22" s="85">
        <f>SUM(I15:I19)</f>
        <v>0</v>
      </c>
    </row>
    <row r="23" ht="20.25" spans="1:9">
      <c r="A23" s="1"/>
      <c r="B23" s="74" t="s">
        <v>0</v>
      </c>
      <c r="C23" s="74"/>
      <c r="D23" s="75"/>
      <c r="E23" s="74" t="s">
        <v>1</v>
      </c>
      <c r="F23" s="75"/>
      <c r="G23" s="74" t="s">
        <v>2</v>
      </c>
      <c r="H23" s="74"/>
      <c r="I23" s="74"/>
    </row>
    <row r="24" ht="20.25" spans="1:9">
      <c r="A24" s="40" t="s">
        <v>28</v>
      </c>
      <c r="B24" s="81" t="s">
        <v>5</v>
      </c>
      <c r="C24" s="81" t="s">
        <v>6</v>
      </c>
      <c r="D24" s="9" t="s">
        <v>7</v>
      </c>
      <c r="E24" s="81" t="s">
        <v>8</v>
      </c>
      <c r="F24" s="9" t="s">
        <v>7</v>
      </c>
      <c r="G24" s="81" t="s">
        <v>9</v>
      </c>
      <c r="H24" s="81" t="s">
        <v>10</v>
      </c>
      <c r="I24" s="9" t="s">
        <v>7</v>
      </c>
    </row>
    <row r="25" ht="20.25" spans="1:9">
      <c r="A25" s="1" t="s">
        <v>11</v>
      </c>
      <c r="B25" s="81"/>
      <c r="C25" s="81"/>
      <c r="E25" s="81"/>
    </row>
    <row r="26" ht="20.25" spans="1:9">
      <c r="A26" s="1" t="s">
        <v>14</v>
      </c>
      <c r="B26" s="81"/>
      <c r="C26" s="81"/>
      <c r="E26" s="81"/>
    </row>
    <row r="27" ht="20.25" spans="1:9">
      <c r="A27" s="1" t="s">
        <v>17</v>
      </c>
      <c r="B27" s="81"/>
      <c r="C27" s="81"/>
      <c r="D27" s="9">
        <v>16007.5</v>
      </c>
      <c r="E27" s="81" t="s">
        <v>19</v>
      </c>
      <c r="F27" s="9">
        <v>2315</v>
      </c>
    </row>
    <row r="28" ht="20.25" spans="1:9">
      <c r="A28" s="1" t="s">
        <v>20</v>
      </c>
      <c r="B28" s="81" t="s">
        <v>29</v>
      </c>
      <c r="C28" s="81"/>
      <c r="D28" s="9">
        <v>9604.5</v>
      </c>
      <c r="E28" s="81" t="s">
        <v>22</v>
      </c>
      <c r="F28" s="9">
        <v>11720</v>
      </c>
    </row>
    <row r="29" ht="20.25" spans="1:9">
      <c r="A29" s="1" t="s">
        <v>23</v>
      </c>
      <c r="B29" s="81" t="s">
        <v>24</v>
      </c>
      <c r="C29" s="81"/>
    </row>
    <row r="30" ht="20.25" spans="1:9">
      <c r="A30" s="1"/>
    </row>
    <row r="31" ht="20.25" spans="1:9">
      <c r="A31" s="1"/>
    </row>
    <row r="32" s="72" customFormat="1" ht="20.25" spans="1:9">
      <c r="A32" s="8"/>
      <c r="D32" s="85">
        <f>SUM(D25:D29)</f>
        <v>25612</v>
      </c>
      <c r="F32" s="85">
        <f>SUM(F25:F29)</f>
        <v>14035</v>
      </c>
      <c r="I32" s="85">
        <f>SUM(I25:I29)</f>
        <v>0</v>
      </c>
    </row>
    <row r="33" ht="20.25" spans="1:10">
      <c r="A33" s="1"/>
      <c r="B33" s="74" t="s">
        <v>0</v>
      </c>
      <c r="C33" s="74"/>
      <c r="D33" s="75"/>
      <c r="E33" s="74" t="s">
        <v>1</v>
      </c>
      <c r="F33" s="75"/>
      <c r="G33" s="74" t="s">
        <v>2</v>
      </c>
      <c r="H33" s="74"/>
      <c r="I33" s="74"/>
    </row>
    <row r="34" ht="20.25" spans="1:10">
      <c r="A34" s="40" t="s">
        <v>30</v>
      </c>
      <c r="B34" s="81" t="s">
        <v>5</v>
      </c>
      <c r="C34" s="81" t="s">
        <v>6</v>
      </c>
      <c r="D34" s="9" t="s">
        <v>7</v>
      </c>
      <c r="E34" s="81" t="s">
        <v>8</v>
      </c>
      <c r="F34" s="9" t="s">
        <v>7</v>
      </c>
      <c r="G34" s="81" t="s">
        <v>9</v>
      </c>
      <c r="H34" s="81" t="s">
        <v>10</v>
      </c>
      <c r="I34" s="9" t="s">
        <v>7</v>
      </c>
    </row>
    <row r="35" ht="20.25" spans="1:10">
      <c r="A35" s="1" t="s">
        <v>11</v>
      </c>
      <c r="B35" s="81" t="s">
        <v>12</v>
      </c>
      <c r="C35" s="81"/>
      <c r="D35" s="9">
        <v>21483</v>
      </c>
      <c r="E35" s="81" t="s">
        <v>13</v>
      </c>
      <c r="F35" s="9">
        <v>8355</v>
      </c>
    </row>
    <row r="36" ht="20.25" spans="1:10">
      <c r="A36" s="1" t="s">
        <v>14</v>
      </c>
      <c r="B36" s="81" t="s">
        <v>15</v>
      </c>
      <c r="C36" s="81"/>
      <c r="D36" s="9">
        <v>9064.5</v>
      </c>
      <c r="E36" s="81" t="s">
        <v>16</v>
      </c>
      <c r="F36" s="9">
        <v>7110</v>
      </c>
    </row>
    <row r="37" ht="20.25" spans="1:10">
      <c r="A37" s="1" t="s">
        <v>17</v>
      </c>
      <c r="B37" s="81" t="s">
        <v>18</v>
      </c>
      <c r="C37" s="81"/>
      <c r="E37" s="81" t="s">
        <v>19</v>
      </c>
      <c r="F37" s="9">
        <v>10785</v>
      </c>
    </row>
    <row r="38" ht="20.25" spans="1:10">
      <c r="A38" s="1" t="s">
        <v>20</v>
      </c>
      <c r="B38" s="81" t="s">
        <v>21</v>
      </c>
      <c r="C38" s="81"/>
      <c r="D38" s="9">
        <v>12526</v>
      </c>
      <c r="E38" s="81" t="s">
        <v>22</v>
      </c>
      <c r="F38" s="9">
        <v>8835</v>
      </c>
    </row>
    <row r="39" ht="20.25" spans="1:10">
      <c r="A39" s="1" t="s">
        <v>23</v>
      </c>
      <c r="B39" s="81"/>
      <c r="C39" s="81"/>
    </row>
    <row r="41" s="72" customFormat="1" spans="1:10">
      <c r="A41"/>
      <c r="B41"/>
      <c r="C41"/>
      <c r="D41" s="9"/>
      <c r="E41"/>
      <c r="F41" s="9"/>
      <c r="G41"/>
      <c r="H41"/>
      <c r="I41" s="9"/>
      <c r="J41"/>
    </row>
    <row r="42" spans="1:10">
      <c r="B42" s="74" t="s">
        <v>0</v>
      </c>
      <c r="C42" s="74"/>
      <c r="D42" s="75"/>
      <c r="E42" s="74" t="s">
        <v>1</v>
      </c>
      <c r="F42" s="75"/>
      <c r="G42" s="74" t="s">
        <v>2</v>
      </c>
      <c r="H42" s="74"/>
      <c r="I42" s="74"/>
      <c r="J42" t="s">
        <v>3</v>
      </c>
    </row>
    <row r="43" ht="20.25" spans="1:10">
      <c r="A43" s="2" t="s">
        <v>26</v>
      </c>
      <c r="B43" s="81" t="s">
        <v>5</v>
      </c>
      <c r="C43" s="81" t="s">
        <v>6</v>
      </c>
      <c r="D43" s="9" t="s">
        <v>7</v>
      </c>
      <c r="E43" s="81" t="s">
        <v>8</v>
      </c>
      <c r="F43" s="9" t="s">
        <v>7</v>
      </c>
      <c r="G43" s="81" t="s">
        <v>9</v>
      </c>
      <c r="H43" s="81" t="s">
        <v>10</v>
      </c>
      <c r="I43" s="9" t="s">
        <v>7</v>
      </c>
    </row>
    <row r="44" ht="20.25" spans="1:10">
      <c r="A44" s="1" t="s">
        <v>31</v>
      </c>
      <c r="B44" s="81" t="s">
        <v>12</v>
      </c>
      <c r="C44" s="81"/>
      <c r="D44" s="9">
        <v>5292.22</v>
      </c>
      <c r="E44" s="81" t="s">
        <v>32</v>
      </c>
      <c r="F44" s="9">
        <v>6538.5</v>
      </c>
    </row>
    <row r="45" ht="20.25" spans="1:10">
      <c r="A45" s="1" t="s">
        <v>33</v>
      </c>
      <c r="B45" s="81" t="s">
        <v>15</v>
      </c>
      <c r="C45" s="81"/>
      <c r="D45" s="9">
        <v>3830.44</v>
      </c>
      <c r="E45" s="81" t="s">
        <v>34</v>
      </c>
      <c r="F45" s="9">
        <v>5735.5</v>
      </c>
    </row>
    <row r="46" ht="20.25" spans="1:10">
      <c r="A46" s="1" t="s">
        <v>35</v>
      </c>
      <c r="B46" s="81" t="s">
        <v>18</v>
      </c>
      <c r="C46" s="81"/>
      <c r="D46" s="9">
        <v>2368.66</v>
      </c>
      <c r="E46" s="81" t="s">
        <v>36</v>
      </c>
      <c r="F46" s="9">
        <v>4932.5</v>
      </c>
    </row>
    <row r="47" ht="20.25" spans="1:10">
      <c r="A47" s="1" t="s">
        <v>37</v>
      </c>
      <c r="B47" s="81" t="s">
        <v>21</v>
      </c>
      <c r="C47" s="81"/>
      <c r="D47" s="9">
        <v>906.879999999999</v>
      </c>
      <c r="E47" s="81" t="s">
        <v>38</v>
      </c>
      <c r="F47" s="9">
        <v>4129.5</v>
      </c>
    </row>
    <row r="48" ht="20.25" spans="1:10">
      <c r="A48" s="1" t="s">
        <v>39</v>
      </c>
      <c r="B48" s="81" t="s">
        <v>24</v>
      </c>
      <c r="C48" s="81"/>
      <c r="D48" s="9">
        <v>-554.900000000001</v>
      </c>
      <c r="E48" s="83"/>
      <c r="G48" s="81"/>
      <c r="H48" s="81"/>
    </row>
    <row r="49" ht="20.25" spans="1:10">
      <c r="A49" s="1"/>
      <c r="B49" s="81"/>
      <c r="C49" s="81"/>
      <c r="E49" s="9"/>
      <c r="G49" s="9"/>
      <c r="H49" s="9"/>
    </row>
    <row r="50" ht="20.25" spans="1:10">
      <c r="A50" s="1"/>
      <c r="B50" s="81"/>
      <c r="C50" s="81"/>
      <c r="E50" s="9"/>
      <c r="G50" s="9"/>
      <c r="H50" s="9"/>
    </row>
    <row r="51" ht="20.25" spans="1:10">
      <c r="A51" s="4" t="s">
        <v>25</v>
      </c>
      <c r="B51" s="104"/>
      <c r="C51" s="104"/>
      <c r="D51" s="105">
        <f>SUM(D44:D50)</f>
        <v>11843.3</v>
      </c>
      <c r="E51" s="105"/>
      <c r="F51" s="105">
        <f>SUM(F44:F50)</f>
        <v>21336</v>
      </c>
      <c r="G51" s="105"/>
      <c r="H51" s="105"/>
      <c r="I51" s="105">
        <f>SUM(I44:I50)</f>
        <v>0</v>
      </c>
      <c r="J51" s="104"/>
    </row>
    <row r="52" ht="20.25" spans="1:10">
      <c r="A52" s="1"/>
      <c r="B52" s="74" t="s">
        <v>0</v>
      </c>
      <c r="C52" s="74"/>
      <c r="D52" s="75"/>
      <c r="E52" s="74" t="s">
        <v>1</v>
      </c>
      <c r="F52" s="75"/>
      <c r="G52" s="74" t="s">
        <v>2</v>
      </c>
      <c r="H52" s="74"/>
      <c r="I52" s="74"/>
    </row>
    <row r="53" ht="20.25" spans="1:10">
      <c r="A53" s="2" t="s">
        <v>28</v>
      </c>
      <c r="B53" s="81" t="s">
        <v>5</v>
      </c>
      <c r="C53" s="81" t="s">
        <v>6</v>
      </c>
      <c r="D53" s="9" t="s">
        <v>7</v>
      </c>
      <c r="E53" s="81" t="s">
        <v>8</v>
      </c>
      <c r="F53" s="9" t="s">
        <v>7</v>
      </c>
      <c r="G53" s="81" t="s">
        <v>9</v>
      </c>
      <c r="H53" s="81" t="s">
        <v>10</v>
      </c>
      <c r="I53" s="9" t="s">
        <v>7</v>
      </c>
    </row>
    <row r="54" ht="20.25" spans="1:10">
      <c r="A54" s="1" t="s">
        <v>31</v>
      </c>
      <c r="B54" s="81" t="s">
        <v>12</v>
      </c>
      <c r="C54" s="81"/>
      <c r="D54" s="9">
        <v>6825.12</v>
      </c>
      <c r="E54" s="81" t="s">
        <v>32</v>
      </c>
      <c r="F54" s="9">
        <v>14813</v>
      </c>
    </row>
    <row r="55" ht="20.25" spans="1:10">
      <c r="A55" s="1" t="s">
        <v>33</v>
      </c>
      <c r="B55" s="81" t="s">
        <v>15</v>
      </c>
      <c r="C55" s="81"/>
      <c r="D55" s="9">
        <v>5927.64</v>
      </c>
      <c r="E55" s="81" t="s">
        <v>34</v>
      </c>
      <c r="F55" s="9">
        <v>15849</v>
      </c>
    </row>
    <row r="56" ht="20.25" spans="1:10">
      <c r="A56" s="1" t="s">
        <v>35</v>
      </c>
      <c r="B56" s="81" t="s">
        <v>18</v>
      </c>
      <c r="C56" s="81"/>
      <c r="D56" s="9">
        <v>5030.16</v>
      </c>
      <c r="E56" s="81" t="s">
        <v>36</v>
      </c>
      <c r="F56" s="9">
        <v>16885</v>
      </c>
    </row>
    <row r="57" ht="20.25" spans="1:10">
      <c r="A57" s="1" t="s">
        <v>37</v>
      </c>
      <c r="B57" s="81" t="s">
        <v>27</v>
      </c>
      <c r="C57" s="81"/>
      <c r="D57" s="9">
        <v>4132.68</v>
      </c>
      <c r="E57" s="81" t="s">
        <v>38</v>
      </c>
      <c r="F57" s="9">
        <v>17921</v>
      </c>
    </row>
    <row r="58" ht="20.25" spans="1:10">
      <c r="A58" s="1" t="s">
        <v>39</v>
      </c>
      <c r="B58" s="81" t="s">
        <v>24</v>
      </c>
      <c r="C58" s="81"/>
      <c r="D58" s="9">
        <v>3235.2</v>
      </c>
    </row>
    <row r="59" ht="20.25" spans="1:10">
      <c r="A59" s="1"/>
    </row>
    <row r="60" ht="20.25" spans="1:10">
      <c r="A60" s="1"/>
    </row>
    <row r="61" ht="20.25" spans="1:10">
      <c r="A61" s="5"/>
      <c r="B61" s="72"/>
      <c r="C61" s="72"/>
      <c r="D61" s="85">
        <f>SUM(D54:D58)</f>
        <v>25150.8</v>
      </c>
      <c r="E61" s="72"/>
      <c r="F61" s="85">
        <f>SUM(F54:F58)</f>
        <v>65468</v>
      </c>
      <c r="G61" s="72"/>
      <c r="H61" s="72"/>
      <c r="I61" s="85">
        <f>SUM(I54:I58)</f>
        <v>0</v>
      </c>
      <c r="J61" s="72"/>
    </row>
    <row r="62" ht="20.25" spans="1:10">
      <c r="A62" s="1"/>
      <c r="B62" s="74" t="s">
        <v>0</v>
      </c>
      <c r="C62" s="74"/>
      <c r="D62" s="75"/>
      <c r="E62" s="74" t="s">
        <v>1</v>
      </c>
      <c r="F62" s="75"/>
      <c r="G62" s="74" t="s">
        <v>2</v>
      </c>
      <c r="H62" s="74"/>
      <c r="I62" s="74"/>
    </row>
    <row r="63" ht="20.25" spans="1:10">
      <c r="A63" s="40" t="s">
        <v>30</v>
      </c>
      <c r="B63" s="81" t="s">
        <v>5</v>
      </c>
      <c r="C63" s="81" t="s">
        <v>6</v>
      </c>
      <c r="D63" s="9" t="s">
        <v>7</v>
      </c>
      <c r="E63" s="81" t="s">
        <v>8</v>
      </c>
      <c r="F63" s="9" t="s">
        <v>7</v>
      </c>
      <c r="G63" s="81" t="s">
        <v>9</v>
      </c>
      <c r="H63" s="81" t="s">
        <v>10</v>
      </c>
      <c r="I63" s="9" t="s">
        <v>7</v>
      </c>
    </row>
    <row r="64" ht="20.25" spans="1:10">
      <c r="A64" s="1" t="s">
        <v>31</v>
      </c>
      <c r="B64" s="81"/>
      <c r="C64" s="81"/>
      <c r="E64" s="81"/>
    </row>
    <row r="65" ht="20.25" spans="1:10">
      <c r="A65" s="1" t="s">
        <v>33</v>
      </c>
      <c r="B65" s="81"/>
      <c r="C65" s="81"/>
      <c r="E65" s="81"/>
    </row>
    <row r="66" ht="20.25" spans="1:10">
      <c r="A66" s="1" t="s">
        <v>35</v>
      </c>
      <c r="B66" s="81"/>
      <c r="C66" s="81"/>
      <c r="D66" s="9">
        <v>3201.5</v>
      </c>
      <c r="E66" s="81" t="s">
        <v>36</v>
      </c>
      <c r="F66" s="9">
        <v>21125</v>
      </c>
    </row>
    <row r="67" ht="20.25" spans="1:10">
      <c r="A67" s="1" t="s">
        <v>37</v>
      </c>
      <c r="B67" s="81" t="s">
        <v>40</v>
      </c>
      <c r="C67" s="81"/>
      <c r="D67" s="9">
        <v>-3201.5</v>
      </c>
      <c r="E67" s="81" t="s">
        <v>38</v>
      </c>
      <c r="F67" s="9">
        <v>30530</v>
      </c>
    </row>
    <row r="68" ht="20.25" spans="1:10">
      <c r="A68" s="1" t="s">
        <v>39</v>
      </c>
      <c r="B68" s="81" t="s">
        <v>41</v>
      </c>
      <c r="C68" s="81"/>
    </row>
    <row r="69" ht="20.25" spans="1:10">
      <c r="A69" s="1"/>
    </row>
    <row r="70" ht="20.25" spans="1:10">
      <c r="A70" s="1"/>
    </row>
    <row r="71" ht="20.25" spans="1:10">
      <c r="A71" s="8"/>
      <c r="B71" s="72"/>
      <c r="C71" s="72"/>
      <c r="D71" s="85">
        <f>SUM(D64:D68)</f>
        <v>0</v>
      </c>
      <c r="E71" s="72"/>
      <c r="F71" s="85">
        <f>SUM(F64:F68)</f>
        <v>51655</v>
      </c>
      <c r="G71" s="72"/>
      <c r="H71" s="72"/>
      <c r="I71" s="85">
        <f>SUM(I64:I68)</f>
        <v>0</v>
      </c>
      <c r="J71" s="72"/>
    </row>
    <row r="72" ht="20.25" spans="1:10">
      <c r="A72" s="1"/>
      <c r="B72" s="74" t="s">
        <v>0</v>
      </c>
      <c r="C72" s="74"/>
      <c r="D72" s="75"/>
      <c r="E72" s="74" t="s">
        <v>1</v>
      </c>
      <c r="F72" s="75"/>
      <c r="G72" s="74" t="s">
        <v>2</v>
      </c>
      <c r="H72" s="74"/>
      <c r="I72" s="74"/>
    </row>
    <row r="73" ht="20.25" spans="1:10">
      <c r="A73" s="40" t="s">
        <v>42</v>
      </c>
      <c r="B73" s="81" t="s">
        <v>5</v>
      </c>
      <c r="C73" s="81" t="s">
        <v>6</v>
      </c>
      <c r="D73" s="9" t="s">
        <v>7</v>
      </c>
      <c r="E73" s="81" t="s">
        <v>8</v>
      </c>
      <c r="F73" s="9" t="s">
        <v>7</v>
      </c>
      <c r="G73" s="81" t="s">
        <v>9</v>
      </c>
      <c r="H73" s="81" t="s">
        <v>10</v>
      </c>
      <c r="I73" s="9" t="s">
        <v>7</v>
      </c>
    </row>
    <row r="74" ht="20.25" spans="1:10">
      <c r="A74" s="1" t="s">
        <v>31</v>
      </c>
      <c r="B74" s="81" t="s">
        <v>12</v>
      </c>
      <c r="C74" s="81"/>
      <c r="D74" s="9">
        <v>5880.89285714286</v>
      </c>
      <c r="E74" s="81" t="s">
        <v>32</v>
      </c>
      <c r="F74" s="9">
        <v>10561.5</v>
      </c>
    </row>
    <row r="75" ht="20.25" spans="1:10">
      <c r="A75" s="1" t="s">
        <v>33</v>
      </c>
      <c r="B75" s="81" t="s">
        <v>15</v>
      </c>
      <c r="C75" s="81"/>
      <c r="D75" s="9">
        <v>3569</v>
      </c>
      <c r="E75" s="81" t="s">
        <v>34</v>
      </c>
      <c r="F75" s="9">
        <v>11073</v>
      </c>
    </row>
    <row r="76" ht="20.25" spans="1:10">
      <c r="A76" s="1" t="s">
        <v>35</v>
      </c>
      <c r="B76" s="81" t="s">
        <v>18</v>
      </c>
      <c r="C76" s="81"/>
      <c r="E76" s="81" t="s">
        <v>36</v>
      </c>
      <c r="F76" s="9">
        <v>11584.5</v>
      </c>
    </row>
    <row r="77" ht="20.25" spans="1:10">
      <c r="A77" s="1" t="s">
        <v>37</v>
      </c>
      <c r="B77" s="81" t="s">
        <v>21</v>
      </c>
      <c r="C77" s="81"/>
      <c r="D77" s="9">
        <v>-1054.78571428572</v>
      </c>
      <c r="E77" s="81" t="s">
        <v>38</v>
      </c>
      <c r="F77" s="9">
        <v>12096</v>
      </c>
    </row>
    <row r="78" ht="20.25" spans="1:10">
      <c r="A78" s="1" t="s">
        <v>39</v>
      </c>
      <c r="B78" s="81"/>
      <c r="C78" s="81"/>
    </row>
  </sheetData>
  <mergeCells count="24">
    <mergeCell ref="B3:D3"/>
    <mergeCell ref="E3:F3"/>
    <mergeCell ref="G3:I3"/>
    <mergeCell ref="B13:D13"/>
    <mergeCell ref="E13:F13"/>
    <mergeCell ref="G13:I13"/>
    <mergeCell ref="B23:D23"/>
    <mergeCell ref="E23:F23"/>
    <mergeCell ref="G23:I23"/>
    <mergeCell ref="B33:D33"/>
    <mergeCell ref="E33:F33"/>
    <mergeCell ref="G33:I33"/>
    <mergeCell ref="B42:D42"/>
    <mergeCell ref="E42:F42"/>
    <mergeCell ref="G42:I42"/>
    <mergeCell ref="B52:D52"/>
    <mergeCell ref="E52:F52"/>
    <mergeCell ref="G52:I52"/>
    <mergeCell ref="B62:D62"/>
    <mergeCell ref="E62:F62"/>
    <mergeCell ref="G62:I62"/>
    <mergeCell ref="B72:D72"/>
    <mergeCell ref="E72:F72"/>
    <mergeCell ref="G72:I7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opLeftCell="A14" workbookViewId="0">
      <selection activeCell="C34" sqref="C34"/>
    </sheetView>
  </sheetViews>
  <sheetFormatPr defaultColWidth="9" defaultRowHeight="14.25"/>
  <cols>
    <col min="1" max="1" width="14" customWidth="1"/>
    <col min="2" max="3" width="14.375" customWidth="1"/>
    <col min="4" max="4" width="17.75" customWidth="1"/>
    <col min="5" max="5" width="19.125" customWidth="1"/>
    <col min="6" max="6" width="17.25" customWidth="1"/>
    <col min="7" max="7" width="13.75" customWidth="1"/>
    <col min="8" max="8" width="12.625" customWidth="1"/>
    <col min="9" max="9" width="14.75" customWidth="1"/>
    <col min="10" max="10" width="15.5" customWidth="1"/>
    <col min="11" max="11" width="15.75" customWidth="1"/>
  </cols>
  <sheetData>
    <row r="1" spans="1:11">
      <c r="D1" s="9"/>
      <c r="F1" s="9"/>
      <c r="I1" s="9"/>
    </row>
    <row r="2" spans="1:11">
      <c r="D2" s="9"/>
      <c r="F2" s="9"/>
      <c r="I2" s="9"/>
    </row>
    <row r="3" spans="1:11">
      <c r="B3" s="74" t="s">
        <v>0</v>
      </c>
      <c r="C3" s="74"/>
      <c r="D3" s="75"/>
      <c r="E3" s="74" t="s">
        <v>1</v>
      </c>
      <c r="F3" s="75"/>
      <c r="G3" s="74" t="s">
        <v>2</v>
      </c>
      <c r="H3" s="74"/>
      <c r="I3" s="74"/>
    </row>
    <row r="4" ht="20.25" spans="1:11">
      <c r="A4" s="2" t="s">
        <v>4</v>
      </c>
      <c r="B4" s="81" t="s">
        <v>5</v>
      </c>
      <c r="C4" s="81" t="s">
        <v>6</v>
      </c>
      <c r="D4" s="9" t="s">
        <v>7</v>
      </c>
      <c r="E4" s="81" t="s">
        <v>8</v>
      </c>
      <c r="F4" s="9" t="s">
        <v>7</v>
      </c>
      <c r="G4" s="81" t="s">
        <v>9</v>
      </c>
      <c r="H4" s="81" t="s">
        <v>10</v>
      </c>
      <c r="I4" s="9" t="s">
        <v>7</v>
      </c>
      <c r="J4" s="81" t="s">
        <v>8</v>
      </c>
      <c r="K4" s="81" t="s">
        <v>7</v>
      </c>
    </row>
    <row r="5" ht="20.25" spans="1:11">
      <c r="A5" s="1" t="s">
        <v>11</v>
      </c>
      <c r="B5" s="81" t="s">
        <v>40</v>
      </c>
      <c r="C5" s="81"/>
      <c r="D5" s="9">
        <v>13126</v>
      </c>
      <c r="E5" s="81" t="s">
        <v>43</v>
      </c>
      <c r="F5" s="9">
        <v>11985</v>
      </c>
      <c r="I5" s="9"/>
      <c r="J5" t="s">
        <v>44</v>
      </c>
      <c r="K5" s="9">
        <v>101700</v>
      </c>
    </row>
    <row r="6" ht="20.25" spans="1:11">
      <c r="A6" s="1" t="s">
        <v>14</v>
      </c>
      <c r="B6" s="81" t="s">
        <v>45</v>
      </c>
      <c r="C6" s="81"/>
      <c r="D6" s="9">
        <v>13326</v>
      </c>
      <c r="E6" s="81" t="s">
        <v>46</v>
      </c>
      <c r="F6" s="9"/>
      <c r="I6" s="9"/>
    </row>
    <row r="7" ht="20.25" spans="1:11">
      <c r="A7" s="1" t="s">
        <v>17</v>
      </c>
      <c r="B7" s="81" t="s">
        <v>47</v>
      </c>
      <c r="C7" s="81"/>
      <c r="D7" s="9">
        <v>10129</v>
      </c>
      <c r="E7" s="81" t="s">
        <v>48</v>
      </c>
      <c r="F7" s="9">
        <v>5590</v>
      </c>
      <c r="I7" s="9"/>
    </row>
    <row r="8" ht="20.25" spans="1:11">
      <c r="A8" s="1" t="s">
        <v>20</v>
      </c>
      <c r="B8" s="81" t="s">
        <v>49</v>
      </c>
      <c r="C8" s="81"/>
      <c r="D8" s="9">
        <v>12986</v>
      </c>
      <c r="E8" s="81" t="s">
        <v>50</v>
      </c>
      <c r="F8" s="9">
        <v>5400</v>
      </c>
      <c r="I8" s="9"/>
    </row>
    <row r="9" ht="20.25" spans="1:11">
      <c r="A9" s="1" t="s">
        <v>23</v>
      </c>
      <c r="B9" s="81"/>
      <c r="C9" s="81"/>
      <c r="D9" s="9"/>
      <c r="E9" s="83"/>
      <c r="F9" s="9"/>
      <c r="G9" s="81"/>
      <c r="H9" s="81"/>
      <c r="I9" s="9"/>
    </row>
    <row r="10" ht="20.25" spans="1:11">
      <c r="A10" s="1"/>
      <c r="B10" s="81"/>
      <c r="C10" s="81"/>
      <c r="D10" s="9"/>
      <c r="E10" s="9"/>
      <c r="F10" s="9"/>
      <c r="G10" s="9"/>
      <c r="H10" s="9"/>
      <c r="I10" s="9"/>
    </row>
    <row r="11" ht="20.25" spans="1:11">
      <c r="A11" s="1"/>
      <c r="B11" s="81"/>
      <c r="C11" s="81"/>
      <c r="D11" s="9"/>
      <c r="E11" s="9"/>
      <c r="F11" s="9"/>
      <c r="G11" s="9"/>
      <c r="H11" s="9"/>
      <c r="I11" s="9"/>
    </row>
    <row r="12" ht="20.25" spans="1:11">
      <c r="A12" s="4"/>
      <c r="B12" s="81"/>
      <c r="C12" s="81"/>
      <c r="D12" s="9"/>
      <c r="E12" s="9"/>
      <c r="F12" s="9"/>
      <c r="G12" s="9"/>
      <c r="H12" s="9"/>
      <c r="I12" s="9"/>
    </row>
    <row r="13" ht="20.25" spans="1:11">
      <c r="A13" s="1"/>
      <c r="B13" s="74" t="s">
        <v>0</v>
      </c>
      <c r="C13" s="74"/>
      <c r="D13" s="75"/>
      <c r="E13" s="74" t="s">
        <v>1</v>
      </c>
      <c r="F13" s="75"/>
      <c r="G13" s="74" t="s">
        <v>2</v>
      </c>
      <c r="H13" s="74"/>
      <c r="I13" s="74"/>
    </row>
    <row r="14" ht="20.25" spans="1:11">
      <c r="A14" s="2" t="s">
        <v>26</v>
      </c>
      <c r="B14" s="81" t="s">
        <v>5</v>
      </c>
      <c r="C14" s="81" t="s">
        <v>6</v>
      </c>
      <c r="D14" s="9" t="s">
        <v>7</v>
      </c>
      <c r="E14" s="81" t="s">
        <v>8</v>
      </c>
      <c r="F14" s="9" t="s">
        <v>7</v>
      </c>
      <c r="G14" s="81" t="s">
        <v>9</v>
      </c>
      <c r="H14" s="81" t="s">
        <v>10</v>
      </c>
      <c r="I14" s="9" t="s">
        <v>7</v>
      </c>
    </row>
    <row r="15" ht="20.25" spans="1:11">
      <c r="A15" s="1" t="s">
        <v>11</v>
      </c>
      <c r="B15" s="81"/>
      <c r="C15" s="81"/>
      <c r="D15" s="9"/>
      <c r="E15" s="81" t="s">
        <v>43</v>
      </c>
      <c r="F15" s="9">
        <v>7045</v>
      </c>
      <c r="I15" s="9"/>
    </row>
    <row r="16" ht="20.25" spans="1:11">
      <c r="A16" s="1" t="s">
        <v>14</v>
      </c>
      <c r="B16" s="81" t="s">
        <v>51</v>
      </c>
      <c r="C16" s="81"/>
      <c r="D16" s="9">
        <v>6563</v>
      </c>
      <c r="E16" s="81" t="s">
        <v>46</v>
      </c>
      <c r="F16" s="9"/>
      <c r="I16" s="9"/>
    </row>
    <row r="17" ht="20.25" spans="1:9">
      <c r="A17" s="1" t="s">
        <v>17</v>
      </c>
      <c r="B17" s="81" t="s">
        <v>47</v>
      </c>
      <c r="C17" s="81"/>
      <c r="D17" s="9">
        <v>12506</v>
      </c>
      <c r="E17" s="81" t="s">
        <v>48</v>
      </c>
      <c r="F17" s="9">
        <v>12052.8</v>
      </c>
      <c r="I17" s="9"/>
    </row>
    <row r="18" ht="20.25" spans="1:9">
      <c r="A18" s="1" t="s">
        <v>20</v>
      </c>
      <c r="B18" s="81" t="s">
        <v>52</v>
      </c>
      <c r="C18" s="81"/>
      <c r="D18" s="9">
        <v>19419</v>
      </c>
      <c r="E18" s="81" t="s">
        <v>50</v>
      </c>
      <c r="F18" s="9">
        <v>8555</v>
      </c>
      <c r="I18" s="9"/>
    </row>
    <row r="19" ht="20.25" spans="1:9">
      <c r="A19" s="1" t="s">
        <v>23</v>
      </c>
      <c r="B19" s="81"/>
      <c r="C19" s="81"/>
      <c r="D19" s="9"/>
      <c r="F19" s="9"/>
      <c r="I19" s="9"/>
    </row>
    <row r="20" ht="20.25" spans="1:9">
      <c r="A20" s="1"/>
      <c r="D20" s="9"/>
      <c r="F20" s="9"/>
      <c r="I20" s="9"/>
    </row>
    <row r="21" ht="20.25" spans="1:9">
      <c r="A21" s="1"/>
      <c r="D21" s="9"/>
      <c r="F21" s="9"/>
      <c r="I21" s="9"/>
    </row>
    <row r="22" ht="20.25" spans="1:9">
      <c r="A22" s="5"/>
      <c r="D22" s="9"/>
      <c r="F22" s="9"/>
      <c r="I22" s="9"/>
    </row>
    <row r="23" ht="20.25" spans="1:9">
      <c r="A23" s="1"/>
      <c r="B23" s="74" t="s">
        <v>0</v>
      </c>
      <c r="C23" s="74"/>
      <c r="D23" s="75"/>
      <c r="E23" s="74" t="s">
        <v>1</v>
      </c>
      <c r="F23" s="75"/>
      <c r="G23" s="74" t="s">
        <v>2</v>
      </c>
      <c r="H23" s="74"/>
      <c r="I23" s="74"/>
    </row>
    <row r="24" ht="20.25" spans="1:9">
      <c r="A24" s="40" t="s">
        <v>28</v>
      </c>
      <c r="B24" s="81" t="s">
        <v>5</v>
      </c>
      <c r="C24" s="81" t="s">
        <v>6</v>
      </c>
      <c r="D24" s="9" t="s">
        <v>7</v>
      </c>
      <c r="E24" s="81" t="s">
        <v>8</v>
      </c>
      <c r="F24" s="9" t="s">
        <v>7</v>
      </c>
      <c r="G24" s="81" t="s">
        <v>9</v>
      </c>
      <c r="H24" s="81" t="s">
        <v>10</v>
      </c>
      <c r="I24" s="9" t="s">
        <v>7</v>
      </c>
    </row>
    <row r="25" ht="20.25" spans="1:9">
      <c r="A25" s="1" t="s">
        <v>11</v>
      </c>
      <c r="B25" s="81" t="s">
        <v>40</v>
      </c>
      <c r="C25" s="81"/>
      <c r="D25" s="9">
        <v>11485.25</v>
      </c>
      <c r="E25" s="81" t="s">
        <v>43</v>
      </c>
      <c r="F25" s="9">
        <v>8460</v>
      </c>
      <c r="I25" s="9"/>
    </row>
    <row r="26" ht="20.25" spans="1:9">
      <c r="A26" s="1" t="s">
        <v>14</v>
      </c>
      <c r="B26" s="81"/>
      <c r="C26" s="81"/>
      <c r="D26" s="9"/>
      <c r="E26" s="81" t="s">
        <v>46</v>
      </c>
      <c r="F26" s="9"/>
      <c r="I26" s="9"/>
    </row>
    <row r="27" ht="20.25" spans="1:9">
      <c r="A27" s="1" t="s">
        <v>17</v>
      </c>
      <c r="B27" s="81" t="s">
        <v>47</v>
      </c>
      <c r="C27" s="81"/>
      <c r="D27" s="9">
        <v>16882.5</v>
      </c>
      <c r="E27" s="81" t="s">
        <v>48</v>
      </c>
      <c r="F27" s="9">
        <v>10403</v>
      </c>
      <c r="I27" s="9"/>
    </row>
    <row r="28" ht="20.25" spans="1:9">
      <c r="A28" s="1" t="s">
        <v>20</v>
      </c>
      <c r="B28" s="81" t="s">
        <v>53</v>
      </c>
      <c r="C28" s="81"/>
      <c r="D28" s="9">
        <v>12946</v>
      </c>
      <c r="E28" s="81" t="s">
        <v>50</v>
      </c>
      <c r="F28" s="9">
        <v>8360</v>
      </c>
      <c r="I28" s="9"/>
    </row>
    <row r="29" ht="20.25" spans="1:9">
      <c r="A29" s="1" t="s">
        <v>23</v>
      </c>
      <c r="B29" s="81"/>
      <c r="C29" s="81"/>
      <c r="D29" s="9"/>
      <c r="F29" s="9"/>
      <c r="I29" s="9"/>
    </row>
    <row r="30" ht="20.25" spans="1:9">
      <c r="A30" s="1"/>
      <c r="D30" s="9"/>
      <c r="F30" s="9"/>
      <c r="I30" s="9"/>
    </row>
    <row r="31" ht="20.25" spans="1:9">
      <c r="A31" s="1"/>
      <c r="D31" s="9"/>
      <c r="F31" s="9"/>
      <c r="I31" s="9"/>
    </row>
    <row r="32" ht="20.25" spans="1:9">
      <c r="A32" s="8"/>
      <c r="D32" s="9"/>
      <c r="F32" s="9"/>
      <c r="I32" s="9"/>
    </row>
    <row r="33" ht="20.25" spans="1:9">
      <c r="A33" s="1"/>
      <c r="B33" s="74" t="s">
        <v>0</v>
      </c>
      <c r="C33" s="74"/>
      <c r="D33" s="75"/>
      <c r="E33" s="74" t="s">
        <v>1</v>
      </c>
      <c r="F33" s="75"/>
      <c r="G33" s="74" t="s">
        <v>2</v>
      </c>
      <c r="H33" s="74"/>
      <c r="I33" s="74"/>
    </row>
    <row r="34" ht="20.25" spans="1:9">
      <c r="A34" s="40" t="s">
        <v>30</v>
      </c>
      <c r="B34" s="81" t="s">
        <v>5</v>
      </c>
      <c r="C34" s="81" t="s">
        <v>6</v>
      </c>
      <c r="D34" s="9" t="s">
        <v>7</v>
      </c>
      <c r="E34" s="81" t="s">
        <v>8</v>
      </c>
      <c r="F34" s="9" t="s">
        <v>7</v>
      </c>
      <c r="G34" s="81" t="s">
        <v>9</v>
      </c>
      <c r="H34" s="81" t="s">
        <v>10</v>
      </c>
      <c r="I34" s="9" t="s">
        <v>7</v>
      </c>
    </row>
    <row r="35" ht="20.25" spans="1:9">
      <c r="A35" s="1" t="s">
        <v>11</v>
      </c>
      <c r="B35" s="103" t="s">
        <v>54</v>
      </c>
      <c r="C35" s="103"/>
      <c r="D35" s="9">
        <v>24699.4</v>
      </c>
      <c r="E35" s="81" t="s">
        <v>43</v>
      </c>
      <c r="F35" s="9">
        <v>7955</v>
      </c>
      <c r="I35" s="9"/>
    </row>
    <row r="36" ht="20.25" spans="1:9">
      <c r="A36" s="1" t="s">
        <v>14</v>
      </c>
      <c r="B36" s="81" t="s">
        <v>45</v>
      </c>
      <c r="C36" s="81"/>
      <c r="D36" s="9">
        <v>13326</v>
      </c>
      <c r="E36" s="81" t="s">
        <v>46</v>
      </c>
      <c r="F36" s="9"/>
      <c r="I36" s="9"/>
    </row>
    <row r="37" ht="20.25" spans="1:9">
      <c r="A37" s="1" t="s">
        <v>17</v>
      </c>
      <c r="B37" s="81" t="s">
        <v>52</v>
      </c>
      <c r="C37" s="81"/>
      <c r="D37" s="9">
        <v>12946</v>
      </c>
      <c r="E37" s="81" t="s">
        <v>48</v>
      </c>
      <c r="F37" s="9">
        <v>8095</v>
      </c>
      <c r="I37" s="9"/>
    </row>
    <row r="38" ht="20.25" spans="1:9">
      <c r="A38" s="1" t="s">
        <v>20</v>
      </c>
      <c r="B38" s="81" t="s">
        <v>49</v>
      </c>
      <c r="C38" s="81"/>
      <c r="D38" s="9">
        <v>9739.5</v>
      </c>
      <c r="E38" s="81" t="s">
        <v>50</v>
      </c>
      <c r="F38" s="9">
        <v>9365</v>
      </c>
      <c r="I38" s="9"/>
    </row>
    <row r="39" ht="20.25" spans="1:9">
      <c r="A39" s="1" t="s">
        <v>23</v>
      </c>
      <c r="B39" s="81"/>
      <c r="C39" s="81"/>
      <c r="D39" s="9"/>
      <c r="F39" s="9"/>
      <c r="I39" s="9"/>
    </row>
    <row r="40" ht="20.25" spans="1:9">
      <c r="A40" s="1"/>
      <c r="D40" s="9"/>
      <c r="F40" s="9"/>
      <c r="I40" s="9"/>
    </row>
    <row r="41" ht="20.25" spans="1:9">
      <c r="A41" s="1"/>
      <c r="D41" s="9"/>
      <c r="F41" s="9"/>
      <c r="I41" s="9"/>
    </row>
    <row r="42" ht="20.25" spans="1:9">
      <c r="A42" s="8"/>
      <c r="D42" s="9"/>
      <c r="F42" s="9"/>
      <c r="I42" s="9"/>
    </row>
    <row r="43" ht="20.25" spans="1:9">
      <c r="A43" s="1"/>
      <c r="D43" s="9"/>
      <c r="F43" s="9"/>
      <c r="I43" s="9"/>
    </row>
  </sheetData>
  <mergeCells count="12">
    <mergeCell ref="B3:D3"/>
    <mergeCell ref="E3:F3"/>
    <mergeCell ref="G3:I3"/>
    <mergeCell ref="B13:D13"/>
    <mergeCell ref="E13:F13"/>
    <mergeCell ref="G13:I13"/>
    <mergeCell ref="B23:D23"/>
    <mergeCell ref="E23:F23"/>
    <mergeCell ref="G23:I23"/>
    <mergeCell ref="B33:D33"/>
    <mergeCell ref="E33:F33"/>
    <mergeCell ref="G33:I3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9"/>
  <sheetViews>
    <sheetView topLeftCell="A14" workbookViewId="0">
      <selection activeCell="E36" sqref="E36"/>
    </sheetView>
  </sheetViews>
  <sheetFormatPr defaultColWidth="9" defaultRowHeight="14.25"/>
  <cols>
    <col min="1" max="1" width="12.75" customWidth="1"/>
    <col min="2" max="3" width="16.5" customWidth="1"/>
    <col min="4" max="4" width="14.5" customWidth="1"/>
    <col min="5" max="5" width="22.5" customWidth="1"/>
    <col min="6" max="6" width="12.5" customWidth="1"/>
    <col min="8" max="8" width="12.875" customWidth="1"/>
  </cols>
  <sheetData>
    <row r="1" spans="1:9">
      <c r="D1" s="9"/>
      <c r="F1" s="9"/>
      <c r="I1" s="9"/>
    </row>
    <row r="2" spans="1:9">
      <c r="A2" s="73">
        <v>46082</v>
      </c>
      <c r="D2" s="9"/>
      <c r="F2" s="9"/>
      <c r="I2" s="9"/>
    </row>
    <row r="3" spans="1:9">
      <c r="B3" s="74" t="s">
        <v>0</v>
      </c>
      <c r="C3" s="74"/>
      <c r="D3" s="75"/>
      <c r="E3" s="74" t="s">
        <v>1</v>
      </c>
      <c r="F3" s="75"/>
      <c r="G3" s="74" t="s">
        <v>2</v>
      </c>
      <c r="H3" s="74"/>
      <c r="I3" s="74"/>
    </row>
    <row r="4" ht="20.25" spans="1:9">
      <c r="A4" s="2" t="s">
        <v>4</v>
      </c>
      <c r="B4" s="81" t="s">
        <v>5</v>
      </c>
      <c r="C4" s="81" t="s">
        <v>6</v>
      </c>
      <c r="D4" s="9" t="s">
        <v>7</v>
      </c>
      <c r="E4" s="81" t="s">
        <v>8</v>
      </c>
      <c r="F4" s="9" t="s">
        <v>7</v>
      </c>
      <c r="G4" s="81" t="s">
        <v>9</v>
      </c>
      <c r="H4" s="81" t="s">
        <v>10</v>
      </c>
      <c r="I4" s="9" t="s">
        <v>7</v>
      </c>
    </row>
    <row r="5" ht="20.25" spans="1:9">
      <c r="A5" s="1" t="s">
        <v>11</v>
      </c>
      <c r="B5" s="81" t="s">
        <v>55</v>
      </c>
      <c r="C5" s="81"/>
      <c r="D5" s="9">
        <v>10338.8</v>
      </c>
      <c r="E5" s="81" t="s">
        <v>56</v>
      </c>
      <c r="F5" s="9">
        <v>10293</v>
      </c>
      <c r="I5" s="9"/>
    </row>
    <row r="6" ht="20.25" spans="1:9">
      <c r="A6" s="1" t="s">
        <v>14</v>
      </c>
      <c r="B6" s="81" t="s">
        <v>57</v>
      </c>
      <c r="C6" s="81"/>
      <c r="D6" s="9">
        <v>21987.5</v>
      </c>
      <c r="E6" s="81" t="s">
        <v>58</v>
      </c>
      <c r="F6" s="9">
        <v>12545</v>
      </c>
      <c r="I6" s="9"/>
    </row>
    <row r="7" ht="20.25" spans="1:9">
      <c r="A7" s="1" t="s">
        <v>17</v>
      </c>
      <c r="B7" s="81"/>
      <c r="C7" s="81"/>
      <c r="D7" s="9"/>
      <c r="E7" s="81" t="s">
        <v>59</v>
      </c>
      <c r="F7" s="9">
        <v>7555</v>
      </c>
      <c r="I7" s="9"/>
    </row>
    <row r="8" ht="20.25" spans="1:9">
      <c r="A8" s="1" t="s">
        <v>20</v>
      </c>
      <c r="B8" s="81" t="s">
        <v>60</v>
      </c>
      <c r="C8" s="81"/>
      <c r="D8" s="9">
        <v>11220</v>
      </c>
      <c r="E8" s="81" t="s">
        <v>61</v>
      </c>
      <c r="F8" s="9">
        <v>6290</v>
      </c>
      <c r="I8" s="9"/>
    </row>
    <row r="9" ht="20.25" spans="1:9">
      <c r="A9" s="1" t="s">
        <v>23</v>
      </c>
      <c r="B9" s="81"/>
      <c r="C9" s="81"/>
      <c r="D9" s="9"/>
      <c r="E9" s="83" t="s">
        <v>62</v>
      </c>
      <c r="F9" s="9">
        <v>5585</v>
      </c>
      <c r="G9" s="81"/>
      <c r="H9" s="81"/>
      <c r="I9" s="9"/>
    </row>
    <row r="10" ht="20.25" spans="1:9">
      <c r="A10" s="1"/>
      <c r="B10" s="81"/>
      <c r="C10" s="81"/>
      <c r="D10" s="9"/>
      <c r="E10" s="9"/>
      <c r="F10" s="9"/>
      <c r="G10" s="9"/>
      <c r="H10" s="9"/>
      <c r="I10" s="9"/>
    </row>
    <row r="11" ht="20.25" spans="1:9">
      <c r="A11" s="1"/>
      <c r="B11" s="81"/>
      <c r="C11" s="81"/>
      <c r="D11" s="9"/>
      <c r="E11" s="9"/>
      <c r="F11" s="9"/>
      <c r="G11" s="9"/>
      <c r="H11" s="9"/>
      <c r="I11" s="9"/>
    </row>
    <row r="12" s="72" customFormat="1" ht="20.25" spans="1:9">
      <c r="A12" s="4"/>
      <c r="B12" s="84"/>
      <c r="C12" s="84"/>
      <c r="D12" s="85">
        <f>SUM(D5:D9)</f>
        <v>43546.3</v>
      </c>
      <c r="E12" s="85"/>
      <c r="F12" s="85">
        <f>SUM(F5:F9)</f>
        <v>42268</v>
      </c>
      <c r="G12" s="85"/>
      <c r="H12" s="85"/>
      <c r="I12" s="85"/>
    </row>
    <row r="13" ht="20.25" spans="1:9">
      <c r="A13" s="1"/>
      <c r="B13" s="74" t="s">
        <v>0</v>
      </c>
      <c r="C13" s="74"/>
      <c r="D13" s="75"/>
      <c r="E13" s="74" t="s">
        <v>1</v>
      </c>
      <c r="F13" s="75"/>
      <c r="G13" s="74" t="s">
        <v>2</v>
      </c>
      <c r="H13" s="74"/>
      <c r="I13" s="74"/>
    </row>
    <row r="14" ht="20.25" spans="1:9">
      <c r="A14" s="2" t="s">
        <v>26</v>
      </c>
      <c r="B14" s="81" t="s">
        <v>5</v>
      </c>
      <c r="C14" s="81" t="s">
        <v>6</v>
      </c>
      <c r="D14" s="9" t="s">
        <v>7</v>
      </c>
      <c r="E14" s="81" t="s">
        <v>8</v>
      </c>
      <c r="F14" s="9" t="s">
        <v>7</v>
      </c>
      <c r="G14" s="81" t="s">
        <v>9</v>
      </c>
      <c r="H14" s="81" t="s">
        <v>10</v>
      </c>
      <c r="I14" s="9" t="s">
        <v>7</v>
      </c>
    </row>
    <row r="15" ht="20.25" spans="1:9">
      <c r="A15" s="1" t="s">
        <v>11</v>
      </c>
      <c r="B15" s="81" t="s">
        <v>55</v>
      </c>
      <c r="C15" s="81"/>
      <c r="D15" s="9">
        <v>14933.9</v>
      </c>
      <c r="E15" s="81" t="s">
        <v>56</v>
      </c>
      <c r="F15" s="9">
        <v>8793</v>
      </c>
      <c r="I15" s="9"/>
    </row>
    <row r="16" ht="20.25" spans="1:9">
      <c r="A16" s="1" t="s">
        <v>14</v>
      </c>
      <c r="B16" s="81"/>
      <c r="C16" s="81"/>
      <c r="D16" s="9"/>
      <c r="E16" s="81" t="s">
        <v>58</v>
      </c>
      <c r="F16" s="9">
        <v>5870</v>
      </c>
      <c r="I16" s="9"/>
    </row>
    <row r="17" ht="20.25" spans="1:9">
      <c r="A17" s="1" t="s">
        <v>17</v>
      </c>
      <c r="B17" s="81" t="s">
        <v>63</v>
      </c>
      <c r="C17" s="81"/>
      <c r="D17" s="9">
        <v>16710</v>
      </c>
      <c r="E17" s="81" t="s">
        <v>59</v>
      </c>
      <c r="F17" s="9">
        <v>8460</v>
      </c>
      <c r="I17" s="9"/>
    </row>
    <row r="18" ht="20.25" spans="1:9">
      <c r="A18" s="1" t="s">
        <v>20</v>
      </c>
      <c r="B18" s="81" t="s">
        <v>60</v>
      </c>
      <c r="C18" s="81"/>
      <c r="D18" s="9">
        <v>20196</v>
      </c>
      <c r="E18" s="81" t="s">
        <v>61</v>
      </c>
      <c r="F18" s="9">
        <v>9060</v>
      </c>
      <c r="I18" s="9"/>
    </row>
    <row r="19" ht="20.25" spans="1:9">
      <c r="A19" s="1" t="s">
        <v>23</v>
      </c>
      <c r="B19" s="81" t="s">
        <v>64</v>
      </c>
      <c r="C19" s="81"/>
      <c r="D19" s="9">
        <v>34000</v>
      </c>
      <c r="E19" s="83" t="s">
        <v>62</v>
      </c>
      <c r="F19" s="9">
        <v>6725</v>
      </c>
      <c r="I19" s="9"/>
    </row>
    <row r="20" ht="20.25" spans="1:9">
      <c r="A20" s="1"/>
      <c r="D20" s="9"/>
      <c r="F20" s="9"/>
      <c r="I20" s="9"/>
    </row>
    <row r="21" s="72" customFormat="1" ht="20.25" spans="1:9">
      <c r="A21" s="5"/>
      <c r="D21" s="85">
        <f>SUM(D15:D19)</f>
        <v>85839.9</v>
      </c>
      <c r="F21" s="85">
        <f>SUM(F15:F19)</f>
        <v>38908</v>
      </c>
      <c r="I21" s="85"/>
    </row>
    <row r="22" ht="20.25" spans="1:9">
      <c r="A22" s="1"/>
      <c r="B22" s="74" t="s">
        <v>0</v>
      </c>
      <c r="C22" s="74"/>
      <c r="D22" s="75"/>
      <c r="E22" s="74" t="s">
        <v>1</v>
      </c>
      <c r="F22" s="75"/>
      <c r="G22" s="74" t="s">
        <v>2</v>
      </c>
      <c r="H22" s="74"/>
      <c r="I22" s="74"/>
    </row>
    <row r="23" ht="20.25" spans="1:9">
      <c r="A23" s="40" t="s">
        <v>28</v>
      </c>
      <c r="B23" s="81" t="s">
        <v>5</v>
      </c>
      <c r="C23" s="81" t="s">
        <v>6</v>
      </c>
      <c r="D23" s="9" t="s">
        <v>7</v>
      </c>
      <c r="E23" s="81" t="s">
        <v>8</v>
      </c>
      <c r="F23" s="9" t="s">
        <v>7</v>
      </c>
      <c r="G23" s="81" t="s">
        <v>9</v>
      </c>
      <c r="H23" s="81" t="s">
        <v>10</v>
      </c>
      <c r="I23" s="9" t="s">
        <v>7</v>
      </c>
    </row>
    <row r="24" ht="20.25" spans="1:9">
      <c r="A24" s="1" t="s">
        <v>11</v>
      </c>
      <c r="B24" s="81" t="s">
        <v>55</v>
      </c>
      <c r="C24" s="81"/>
      <c r="D24" s="9">
        <v>21426.9</v>
      </c>
      <c r="E24" s="81" t="s">
        <v>56</v>
      </c>
      <c r="F24" s="9">
        <v>11378</v>
      </c>
      <c r="I24" s="9"/>
    </row>
    <row r="25" ht="20.25" spans="1:9">
      <c r="A25" s="1" t="s">
        <v>14</v>
      </c>
      <c r="B25" s="81"/>
      <c r="C25" s="81"/>
      <c r="D25" s="9"/>
      <c r="E25" s="81" t="s">
        <v>58</v>
      </c>
      <c r="F25" s="9">
        <v>8415</v>
      </c>
      <c r="I25" s="9"/>
    </row>
    <row r="26" ht="20.25" spans="1:9">
      <c r="A26" s="1" t="s">
        <v>17</v>
      </c>
      <c r="B26" s="81" t="s">
        <v>63</v>
      </c>
      <c r="C26" s="81"/>
      <c r="D26" s="9">
        <v>18909.25</v>
      </c>
      <c r="E26" s="81" t="s">
        <v>59</v>
      </c>
      <c r="F26" s="9">
        <v>9376</v>
      </c>
      <c r="I26" s="9"/>
    </row>
    <row r="27" ht="20.25" spans="1:9">
      <c r="A27" s="1" t="s">
        <v>20</v>
      </c>
      <c r="B27" s="81" t="s">
        <v>60</v>
      </c>
      <c r="C27" s="81"/>
      <c r="D27" s="9">
        <v>41514</v>
      </c>
      <c r="E27" s="81" t="s">
        <v>61</v>
      </c>
      <c r="F27" s="9">
        <v>7110</v>
      </c>
      <c r="I27" s="9"/>
    </row>
    <row r="28" ht="20.25" spans="1:9">
      <c r="A28" s="1" t="s">
        <v>23</v>
      </c>
      <c r="B28" s="81" t="s">
        <v>65</v>
      </c>
      <c r="C28" s="81"/>
      <c r="D28" s="9">
        <v>25500</v>
      </c>
      <c r="E28" s="83" t="s">
        <v>62</v>
      </c>
      <c r="F28" s="9">
        <v>4670</v>
      </c>
      <c r="I28" s="9"/>
    </row>
    <row r="29" ht="20.25" spans="1:9">
      <c r="A29" s="1"/>
      <c r="D29" s="9"/>
      <c r="F29" s="9"/>
      <c r="I29" s="9"/>
    </row>
    <row r="30" s="72" customFormat="1" ht="20.25" spans="1:9">
      <c r="A30" s="8"/>
      <c r="D30" s="85">
        <f>SUM(D24:D28)</f>
        <v>107350.15</v>
      </c>
      <c r="F30" s="85">
        <f>SUM(F24:F28)</f>
        <v>40949</v>
      </c>
      <c r="I30" s="85"/>
    </row>
    <row r="31" ht="20.25" spans="1:9">
      <c r="A31" s="1"/>
      <c r="B31" s="74" t="s">
        <v>0</v>
      </c>
      <c r="C31" s="74"/>
      <c r="D31" s="75"/>
      <c r="E31" s="74" t="s">
        <v>1</v>
      </c>
      <c r="F31" s="75"/>
      <c r="G31" s="74" t="s">
        <v>2</v>
      </c>
      <c r="H31" s="74"/>
      <c r="I31" s="74"/>
    </row>
    <row r="32" ht="20.25" spans="1:9">
      <c r="A32" s="40" t="s">
        <v>30</v>
      </c>
      <c r="B32" s="81" t="s">
        <v>5</v>
      </c>
      <c r="C32" s="81" t="s">
        <v>6</v>
      </c>
      <c r="D32" s="9" t="s">
        <v>7</v>
      </c>
      <c r="E32" s="81" t="s">
        <v>8</v>
      </c>
      <c r="F32" s="9" t="s">
        <v>7</v>
      </c>
      <c r="G32" s="81" t="s">
        <v>9</v>
      </c>
      <c r="H32" s="81" t="s">
        <v>10</v>
      </c>
      <c r="I32" s="9" t="s">
        <v>7</v>
      </c>
    </row>
    <row r="33" ht="20.25" spans="1:9">
      <c r="A33" s="1" t="s">
        <v>11</v>
      </c>
      <c r="B33" s="81" t="s">
        <v>55</v>
      </c>
      <c r="C33" s="81"/>
      <c r="D33" s="9">
        <v>19479</v>
      </c>
      <c r="E33" s="81" t="s">
        <v>56</v>
      </c>
      <c r="F33" s="9">
        <v>9096.5</v>
      </c>
      <c r="I33" s="9"/>
    </row>
    <row r="34" ht="20.25" spans="1:9">
      <c r="A34" s="1" t="s">
        <v>14</v>
      </c>
      <c r="B34" s="81"/>
      <c r="C34" s="81"/>
      <c r="D34" s="9"/>
      <c r="E34" s="81" t="s">
        <v>58</v>
      </c>
      <c r="F34" s="9">
        <v>8733.5</v>
      </c>
      <c r="I34" s="9"/>
    </row>
    <row r="35" ht="20.25" spans="1:9">
      <c r="A35" s="1" t="s">
        <v>17</v>
      </c>
      <c r="B35" s="81" t="s">
        <v>63</v>
      </c>
      <c r="C35" s="81"/>
      <c r="D35" s="9">
        <v>18029.75</v>
      </c>
      <c r="E35" s="81" t="s">
        <v>59</v>
      </c>
      <c r="F35" s="9">
        <v>10381</v>
      </c>
      <c r="I35" s="9"/>
    </row>
    <row r="36" ht="20.25" spans="1:9">
      <c r="A36" s="1" t="s">
        <v>20</v>
      </c>
      <c r="B36" s="81" t="s">
        <v>60</v>
      </c>
      <c r="C36" s="81"/>
      <c r="D36" s="9">
        <v>22440</v>
      </c>
      <c r="E36" s="81" t="s">
        <v>61</v>
      </c>
      <c r="F36" s="9">
        <v>7410</v>
      </c>
      <c r="I36" s="9"/>
    </row>
    <row r="37" ht="20.25" spans="1:9">
      <c r="A37" s="1" t="s">
        <v>23</v>
      </c>
      <c r="B37" s="81"/>
      <c r="C37" s="81"/>
      <c r="D37" s="9"/>
      <c r="E37" s="83" t="s">
        <v>62</v>
      </c>
      <c r="F37" s="9">
        <v>5665</v>
      </c>
      <c r="I37" s="9"/>
    </row>
    <row r="38" ht="20.25" spans="1:9">
      <c r="A38" s="1"/>
      <c r="D38" s="9"/>
      <c r="F38" s="9"/>
      <c r="I38" s="9"/>
    </row>
    <row r="39" s="72" customFormat="1" ht="20.25" spans="1:9">
      <c r="A39" s="8"/>
      <c r="D39" s="85">
        <f>SUM(D33:D37)</f>
        <v>59948.75</v>
      </c>
      <c r="F39" s="85">
        <f>SUM(F33:F37)</f>
        <v>41286</v>
      </c>
      <c r="I39" s="85"/>
    </row>
  </sheetData>
  <mergeCells count="12">
    <mergeCell ref="B3:D3"/>
    <mergeCell ref="E3:F3"/>
    <mergeCell ref="G3:I3"/>
    <mergeCell ref="B13:D13"/>
    <mergeCell ref="E13:F13"/>
    <mergeCell ref="G13:I13"/>
    <mergeCell ref="B22:D22"/>
    <mergeCell ref="E22:F22"/>
    <mergeCell ref="G22:I22"/>
    <mergeCell ref="B31:D31"/>
    <mergeCell ref="E31:F31"/>
    <mergeCell ref="G31:I31"/>
  </mergeCells>
  <pageMargins left="0.7" right="0.7" top="0.75" bottom="0.75" header="0.3" footer="0.3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workbookViewId="0">
      <selection activeCell="C4" sqref="C4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>
        <v>46113</v>
      </c>
      <c r="E2" s="9"/>
      <c r="G2" s="9"/>
      <c r="J2" s="9"/>
    </row>
    <row r="3" spans="1:10">
      <c r="B3" s="74" t="s">
        <v>0</v>
      </c>
      <c r="C3" s="74"/>
      <c r="D3" s="74"/>
      <c r="E3" s="75"/>
      <c r="F3" s="74" t="s">
        <v>1</v>
      </c>
      <c r="G3" s="75"/>
      <c r="H3" s="74" t="s">
        <v>2</v>
      </c>
      <c r="I3" s="74"/>
      <c r="J3" s="74"/>
    </row>
    <row r="4" ht="20.25" spans="1:10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74" t="s">
        <v>8</v>
      </c>
      <c r="G4" s="58" t="s">
        <v>7</v>
      </c>
      <c r="H4" s="74" t="s">
        <v>9</v>
      </c>
      <c r="I4" s="74" t="s">
        <v>10</v>
      </c>
      <c r="J4" s="58" t="s">
        <v>7</v>
      </c>
    </row>
    <row r="5" ht="20.25" spans="1:10">
      <c r="A5" s="1" t="s">
        <v>11</v>
      </c>
      <c r="B5" s="81" t="s">
        <v>67</v>
      </c>
      <c r="C5" s="81"/>
      <c r="D5" s="9">
        <v>51000</v>
      </c>
      <c r="E5" s="102">
        <v>300</v>
      </c>
      <c r="F5" s="81" t="s">
        <v>68</v>
      </c>
      <c r="G5" s="9">
        <v>5360</v>
      </c>
      <c r="J5" s="9"/>
    </row>
    <row r="6" ht="20.25" spans="1:10">
      <c r="A6" s="1" t="s">
        <v>14</v>
      </c>
      <c r="B6" s="81" t="s">
        <v>69</v>
      </c>
      <c r="C6" s="81"/>
      <c r="D6" s="9">
        <v>22500</v>
      </c>
      <c r="E6" s="9">
        <v>150</v>
      </c>
      <c r="F6" s="81" t="s">
        <v>70</v>
      </c>
      <c r="G6" s="9">
        <v>3280</v>
      </c>
      <c r="J6" s="9"/>
    </row>
    <row r="7" ht="20.25" spans="1:10">
      <c r="A7" s="1" t="s">
        <v>17</v>
      </c>
      <c r="B7" s="81" t="s">
        <v>71</v>
      </c>
      <c r="C7" s="81"/>
      <c r="D7" s="9">
        <v>20392</v>
      </c>
      <c r="E7" s="9">
        <v>200</v>
      </c>
      <c r="F7" s="81" t="s">
        <v>72</v>
      </c>
      <c r="G7" s="9">
        <v>8305</v>
      </c>
      <c r="J7" s="9"/>
    </row>
    <row r="8" ht="20.25" spans="1:10">
      <c r="A8" s="1" t="s">
        <v>20</v>
      </c>
      <c r="B8" s="81"/>
      <c r="C8" s="81"/>
      <c r="D8" s="81"/>
      <c r="E8" s="9"/>
      <c r="F8" s="81" t="s">
        <v>73</v>
      </c>
      <c r="G8" s="9">
        <v>6140</v>
      </c>
      <c r="J8" s="9"/>
    </row>
    <row r="9" ht="20.25" spans="1:10">
      <c r="A9" s="1" t="s">
        <v>23</v>
      </c>
      <c r="B9" s="81"/>
      <c r="C9" s="81"/>
      <c r="D9" s="81"/>
      <c r="E9" s="9"/>
      <c r="F9" s="83"/>
      <c r="G9" s="9"/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>
        <f>SUM(D5:D9)</f>
        <v>93892</v>
      </c>
      <c r="E12" s="85">
        <f>SUM(E5:E9)</f>
        <v>650</v>
      </c>
      <c r="F12" s="85"/>
      <c r="G12" s="85">
        <f>SUM(G5:G9)</f>
        <v>23085</v>
      </c>
      <c r="H12" s="85"/>
      <c r="I12" s="85"/>
      <c r="J12" s="85"/>
    </row>
    <row r="13" ht="20.25" spans="1:10">
      <c r="A13" s="1"/>
      <c r="B13" s="74" t="s">
        <v>0</v>
      </c>
      <c r="C13" s="74"/>
      <c r="D13" s="74"/>
      <c r="E13" s="75"/>
      <c r="F13" s="74" t="s">
        <v>1</v>
      </c>
      <c r="G13" s="75"/>
      <c r="H13" s="74" t="s">
        <v>2</v>
      </c>
      <c r="I13" s="74"/>
      <c r="J13" s="74"/>
    </row>
    <row r="14" ht="20.25" spans="1:10">
      <c r="A14" s="2" t="s">
        <v>26</v>
      </c>
      <c r="B14" s="74" t="s">
        <v>5</v>
      </c>
      <c r="C14" s="74" t="s">
        <v>6</v>
      </c>
      <c r="D14" s="58" t="s">
        <v>7</v>
      </c>
      <c r="E14" s="58" t="s">
        <v>66</v>
      </c>
      <c r="F14" s="74" t="s">
        <v>8</v>
      </c>
      <c r="G14" s="58" t="s">
        <v>7</v>
      </c>
      <c r="H14" s="74" t="s">
        <v>9</v>
      </c>
      <c r="I14" s="74" t="s">
        <v>10</v>
      </c>
      <c r="J14" s="58" t="s">
        <v>7</v>
      </c>
    </row>
    <row r="15" ht="20.25" spans="1:10">
      <c r="A15" s="1" t="s">
        <v>11</v>
      </c>
      <c r="B15" s="81" t="s">
        <v>74</v>
      </c>
      <c r="C15" s="81"/>
      <c r="D15" s="9">
        <v>4500</v>
      </c>
      <c r="E15" s="87">
        <v>30</v>
      </c>
      <c r="F15" s="81" t="s">
        <v>68</v>
      </c>
      <c r="G15" s="9">
        <v>4895</v>
      </c>
      <c r="J15" s="9"/>
    </row>
    <row r="16" ht="20.25" spans="1:10">
      <c r="A16" s="1" t="s">
        <v>14</v>
      </c>
      <c r="B16" s="81" t="s">
        <v>75</v>
      </c>
      <c r="C16" s="81"/>
      <c r="D16" s="9">
        <v>22500</v>
      </c>
      <c r="E16" s="87">
        <v>124</v>
      </c>
      <c r="F16" s="81" t="s">
        <v>70</v>
      </c>
      <c r="G16" s="9">
        <v>4750</v>
      </c>
      <c r="J16" s="9"/>
    </row>
    <row r="17" ht="20.25" spans="1:10">
      <c r="A17" s="1" t="s">
        <v>17</v>
      </c>
      <c r="B17" s="81"/>
      <c r="C17" s="81"/>
      <c r="D17" s="9"/>
      <c r="E17" s="87"/>
      <c r="F17" s="81" t="s">
        <v>72</v>
      </c>
      <c r="G17" s="9">
        <v>7750</v>
      </c>
      <c r="J17" s="9"/>
    </row>
    <row r="18" ht="20.25" spans="1:10">
      <c r="A18" s="1" t="s">
        <v>20</v>
      </c>
      <c r="B18" s="81" t="s">
        <v>76</v>
      </c>
      <c r="C18" s="81"/>
      <c r="D18" s="9">
        <v>18120</v>
      </c>
      <c r="E18" s="87">
        <v>200</v>
      </c>
      <c r="F18" s="81" t="s">
        <v>73</v>
      </c>
      <c r="G18" s="9">
        <v>6140</v>
      </c>
      <c r="J18" s="9"/>
    </row>
    <row r="19" ht="20.25" spans="1:10">
      <c r="A19" s="1" t="s">
        <v>23</v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>
        <f>SUM(D15:D19)</f>
        <v>45120</v>
      </c>
      <c r="E21" s="90">
        <f>SUM(E15:E19)</f>
        <v>354</v>
      </c>
      <c r="G21" s="85">
        <f>SUM(G15:G19)</f>
        <v>23535</v>
      </c>
      <c r="J21" s="85"/>
    </row>
    <row r="22" ht="20.25" spans="1:10">
      <c r="A22" s="1"/>
      <c r="B22" s="74" t="s">
        <v>0</v>
      </c>
      <c r="C22" s="74"/>
      <c r="D22" s="74"/>
      <c r="E22" s="75"/>
      <c r="F22" s="74" t="s">
        <v>1</v>
      </c>
      <c r="G22" s="75"/>
      <c r="H22" s="74" t="s">
        <v>2</v>
      </c>
      <c r="I22" s="74"/>
      <c r="J22" s="74"/>
    </row>
    <row r="23" ht="20.25" spans="1:10">
      <c r="A23" s="40" t="s">
        <v>28</v>
      </c>
      <c r="B23" s="74" t="s">
        <v>5</v>
      </c>
      <c r="C23" s="74" t="s">
        <v>6</v>
      </c>
      <c r="D23" s="58" t="s">
        <v>7</v>
      </c>
      <c r="E23" s="58" t="s">
        <v>66</v>
      </c>
      <c r="F23" s="74" t="s">
        <v>8</v>
      </c>
      <c r="G23" s="58" t="s">
        <v>7</v>
      </c>
      <c r="H23" s="74" t="s">
        <v>9</v>
      </c>
      <c r="I23" s="74" t="s">
        <v>10</v>
      </c>
      <c r="J23" s="58" t="s">
        <v>7</v>
      </c>
    </row>
    <row r="24" ht="20.25" spans="1:10">
      <c r="A24" s="1" t="s">
        <v>11</v>
      </c>
      <c r="B24" s="81" t="s">
        <v>77</v>
      </c>
      <c r="C24" s="81"/>
      <c r="D24" s="9">
        <v>8250</v>
      </c>
      <c r="E24" s="87">
        <v>55</v>
      </c>
      <c r="F24" s="81" t="s">
        <v>68</v>
      </c>
      <c r="G24" s="9">
        <v>6245</v>
      </c>
      <c r="J24" s="9"/>
    </row>
    <row r="25" ht="20.25" spans="1:10">
      <c r="A25" s="1" t="s">
        <v>14</v>
      </c>
      <c r="B25" s="81" t="s">
        <v>78</v>
      </c>
      <c r="C25" s="81"/>
      <c r="D25" s="9">
        <v>19500</v>
      </c>
      <c r="E25" s="9">
        <v>130</v>
      </c>
      <c r="F25" s="81" t="s">
        <v>70</v>
      </c>
      <c r="G25" s="9">
        <v>4955</v>
      </c>
      <c r="J25" s="9"/>
    </row>
    <row r="26" ht="20.25" spans="1:10">
      <c r="A26" s="1" t="s">
        <v>17</v>
      </c>
      <c r="B26" s="81"/>
      <c r="C26" s="81"/>
      <c r="D26" s="81"/>
      <c r="E26" s="9"/>
      <c r="F26" s="81" t="s">
        <v>72</v>
      </c>
      <c r="G26" s="9">
        <v>7910</v>
      </c>
      <c r="J26" s="9"/>
    </row>
    <row r="27" ht="20.25" spans="1:10">
      <c r="A27" s="1" t="s">
        <v>20</v>
      </c>
      <c r="B27" s="81" t="s">
        <v>79</v>
      </c>
      <c r="C27" s="81"/>
      <c r="D27" s="9">
        <v>18120</v>
      </c>
      <c r="E27" s="9">
        <v>200</v>
      </c>
      <c r="F27" s="81" t="s">
        <v>73</v>
      </c>
      <c r="G27" s="9">
        <v>9520</v>
      </c>
      <c r="J27" s="9"/>
    </row>
    <row r="28" ht="20.25" spans="1:10">
      <c r="A28" s="1" t="s">
        <v>23</v>
      </c>
      <c r="B28" s="81"/>
      <c r="C28" s="81"/>
      <c r="D28" s="81"/>
      <c r="E28" s="9"/>
      <c r="G28" s="9"/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>
        <f>SUM(D24:D28)</f>
        <v>45870</v>
      </c>
      <c r="E30" s="90">
        <f>SUM(E24:E28)</f>
        <v>385</v>
      </c>
      <c r="G30" s="85">
        <f>SUM(G24:G28)</f>
        <v>28630</v>
      </c>
      <c r="J30" s="85"/>
    </row>
    <row r="31" ht="20.25" spans="1:10">
      <c r="A31" s="1"/>
      <c r="B31" s="74" t="s">
        <v>0</v>
      </c>
      <c r="C31" s="74"/>
      <c r="D31" s="74"/>
      <c r="E31" s="75"/>
      <c r="F31" s="74" t="s">
        <v>1</v>
      </c>
      <c r="G31" s="75"/>
      <c r="H31" s="74" t="s">
        <v>2</v>
      </c>
      <c r="I31" s="74"/>
      <c r="J31" s="74"/>
    </row>
    <row r="32" ht="20.25" spans="1:10">
      <c r="A32" s="40" t="s">
        <v>30</v>
      </c>
      <c r="B32" s="74" t="s">
        <v>5</v>
      </c>
      <c r="C32" s="74" t="s">
        <v>6</v>
      </c>
      <c r="D32" s="58" t="s">
        <v>7</v>
      </c>
      <c r="E32" s="58" t="s">
        <v>66</v>
      </c>
      <c r="F32" s="74" t="s">
        <v>8</v>
      </c>
      <c r="G32" s="58" t="s">
        <v>7</v>
      </c>
      <c r="H32" s="74" t="s">
        <v>9</v>
      </c>
      <c r="I32" s="74" t="s">
        <v>10</v>
      </c>
      <c r="J32" s="58" t="s">
        <v>7</v>
      </c>
    </row>
    <row r="33" ht="20.25" spans="1:10">
      <c r="A33" s="1" t="s">
        <v>11</v>
      </c>
      <c r="B33" s="81"/>
      <c r="C33" s="81"/>
      <c r="D33" s="81"/>
      <c r="E33" s="9"/>
      <c r="F33" s="81" t="s">
        <v>68</v>
      </c>
      <c r="G33" s="9">
        <v>9150</v>
      </c>
      <c r="J33" s="9"/>
    </row>
    <row r="34" ht="20.25" spans="1:10">
      <c r="A34" s="1" t="s">
        <v>14</v>
      </c>
      <c r="B34" s="81" t="s">
        <v>80</v>
      </c>
      <c r="C34" s="81"/>
      <c r="D34" s="9">
        <v>16500</v>
      </c>
      <c r="E34" s="9">
        <v>110</v>
      </c>
      <c r="F34" s="81" t="s">
        <v>70</v>
      </c>
      <c r="G34" s="9">
        <v>6250</v>
      </c>
      <c r="J34" s="9"/>
    </row>
    <row r="35" ht="20.25" spans="1:10">
      <c r="A35" s="1" t="s">
        <v>17</v>
      </c>
      <c r="B35" s="81" t="s">
        <v>81</v>
      </c>
      <c r="C35" s="81"/>
      <c r="D35" s="9">
        <v>20392</v>
      </c>
      <c r="E35" s="9">
        <v>200</v>
      </c>
      <c r="F35" s="81" t="s">
        <v>72</v>
      </c>
      <c r="G35" s="9">
        <v>9440</v>
      </c>
      <c r="J35" s="9"/>
    </row>
    <row r="36" ht="20.25" spans="1:10">
      <c r="A36" s="1" t="s">
        <v>20</v>
      </c>
      <c r="B36" s="81"/>
      <c r="C36" s="81"/>
      <c r="D36" s="81"/>
      <c r="E36" s="9"/>
      <c r="F36" s="81" t="s">
        <v>73</v>
      </c>
      <c r="G36" s="9">
        <v>6710</v>
      </c>
      <c r="J36" s="9"/>
    </row>
    <row r="37" ht="20.25" spans="1:10">
      <c r="A37" s="1" t="s">
        <v>23</v>
      </c>
      <c r="B37" s="81"/>
      <c r="C37" s="81"/>
      <c r="D37" s="81"/>
      <c r="E37" s="9"/>
      <c r="G37" s="9"/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>
        <f>SUM(D33:D37)</f>
        <v>36892</v>
      </c>
      <c r="E39" s="85">
        <f>SUM(E33:E37)</f>
        <v>310</v>
      </c>
      <c r="G39" s="85">
        <f>SUM(G33:G37)</f>
        <v>31550</v>
      </c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workbookViewId="0">
      <selection activeCell="C17" sqref="C17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>
        <v>46143</v>
      </c>
      <c r="E2" s="9"/>
      <c r="G2" s="9"/>
      <c r="J2" s="9"/>
    </row>
    <row r="3" spans="1:10">
      <c r="B3" s="74" t="s">
        <v>0</v>
      </c>
      <c r="C3" s="74"/>
      <c r="D3" s="74"/>
      <c r="E3" s="75"/>
      <c r="F3" s="74" t="s">
        <v>1</v>
      </c>
      <c r="G3" s="75"/>
      <c r="H3" s="74" t="s">
        <v>2</v>
      </c>
      <c r="I3" s="74"/>
      <c r="J3" s="74"/>
    </row>
    <row r="4" ht="20.25" spans="1:10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74" t="s">
        <v>8</v>
      </c>
      <c r="G4" s="58" t="s">
        <v>7</v>
      </c>
      <c r="H4" s="74" t="s">
        <v>9</v>
      </c>
      <c r="I4" s="74" t="s">
        <v>10</v>
      </c>
      <c r="J4" s="58" t="s">
        <v>7</v>
      </c>
    </row>
    <row r="5" ht="20.25" spans="1:10">
      <c r="A5" s="1" t="s">
        <v>11</v>
      </c>
      <c r="B5" s="81"/>
      <c r="C5" s="81"/>
      <c r="D5" s="9"/>
      <c r="E5" s="102"/>
      <c r="F5" s="81" t="s">
        <v>82</v>
      </c>
      <c r="G5" s="9">
        <v>7655</v>
      </c>
      <c r="J5" s="9"/>
    </row>
    <row r="6" ht="20.25" spans="1:10">
      <c r="A6" s="1" t="s">
        <v>14</v>
      </c>
      <c r="B6" s="81" t="s">
        <v>83</v>
      </c>
      <c r="C6" s="81"/>
      <c r="D6" s="9">
        <v>18120</v>
      </c>
      <c r="E6" s="9">
        <v>200</v>
      </c>
      <c r="F6" s="81" t="s">
        <v>84</v>
      </c>
      <c r="G6" s="9">
        <v>10620</v>
      </c>
      <c r="J6" s="9"/>
    </row>
    <row r="7" ht="20.25" spans="1:10">
      <c r="A7" s="1" t="s">
        <v>17</v>
      </c>
      <c r="B7" s="81"/>
      <c r="C7" s="81"/>
      <c r="D7" s="9"/>
      <c r="E7" s="9"/>
      <c r="F7" s="81" t="s">
        <v>85</v>
      </c>
      <c r="G7" s="9">
        <v>9660</v>
      </c>
      <c r="J7" s="9"/>
    </row>
    <row r="8" ht="20.25" spans="1:10">
      <c r="A8" s="1" t="s">
        <v>20</v>
      </c>
      <c r="B8" s="81" t="s">
        <v>86</v>
      </c>
      <c r="C8" s="81"/>
      <c r="D8" s="9">
        <v>17606</v>
      </c>
      <c r="E8" s="9">
        <v>200</v>
      </c>
      <c r="F8" s="81" t="s">
        <v>87</v>
      </c>
      <c r="G8" s="9">
        <v>10145</v>
      </c>
      <c r="J8" s="9"/>
    </row>
    <row r="9" ht="20.25" spans="1:10">
      <c r="A9" s="1" t="s">
        <v>23</v>
      </c>
      <c r="B9" s="81"/>
      <c r="C9" s="81"/>
      <c r="D9" s="81"/>
      <c r="E9" s="9"/>
      <c r="F9" s="83"/>
      <c r="G9" s="9"/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>
        <f>SUM(D5:D9)</f>
        <v>35726</v>
      </c>
      <c r="E12" s="85">
        <f>SUM(E5:E9)</f>
        <v>400</v>
      </c>
      <c r="F12" s="85"/>
      <c r="G12" s="85">
        <f>SUM(G5:G9)</f>
        <v>38080</v>
      </c>
      <c r="H12" s="85"/>
      <c r="I12" s="85"/>
      <c r="J12" s="85"/>
    </row>
    <row r="13" ht="20.25" spans="1:10">
      <c r="A13" s="1"/>
      <c r="B13" s="74" t="s">
        <v>0</v>
      </c>
      <c r="C13" s="74"/>
      <c r="D13" s="74"/>
      <c r="E13" s="75"/>
      <c r="F13" s="74" t="s">
        <v>1</v>
      </c>
      <c r="G13" s="75"/>
      <c r="H13" s="74" t="s">
        <v>2</v>
      </c>
      <c r="I13" s="74"/>
      <c r="J13" s="74"/>
    </row>
    <row r="14" ht="20.25" spans="1:10">
      <c r="A14" s="2" t="s">
        <v>26</v>
      </c>
      <c r="B14" s="74" t="s">
        <v>5</v>
      </c>
      <c r="C14" s="74" t="s">
        <v>6</v>
      </c>
      <c r="D14" s="58" t="s">
        <v>7</v>
      </c>
      <c r="E14" s="58" t="s">
        <v>66</v>
      </c>
      <c r="F14" s="74" t="s">
        <v>8</v>
      </c>
      <c r="G14" s="58" t="s">
        <v>7</v>
      </c>
      <c r="H14" s="74" t="s">
        <v>9</v>
      </c>
      <c r="I14" s="74" t="s">
        <v>10</v>
      </c>
      <c r="J14" s="58" t="s">
        <v>7</v>
      </c>
    </row>
    <row r="15" ht="20.25" spans="1:10">
      <c r="A15" s="1" t="s">
        <v>11</v>
      </c>
      <c r="B15" s="81" t="s">
        <v>88</v>
      </c>
      <c r="C15" s="81"/>
      <c r="D15" s="9">
        <v>13590</v>
      </c>
      <c r="E15" s="87">
        <v>150</v>
      </c>
      <c r="F15" s="81" t="s">
        <v>82</v>
      </c>
      <c r="G15" s="9">
        <v>5570</v>
      </c>
      <c r="J15" s="9"/>
    </row>
    <row r="16" ht="20.25" spans="1:10">
      <c r="A16" s="1" t="s">
        <v>14</v>
      </c>
      <c r="B16" s="81"/>
      <c r="C16" s="81"/>
      <c r="D16" s="9"/>
      <c r="E16" s="87"/>
      <c r="F16" s="81" t="s">
        <v>84</v>
      </c>
      <c r="G16" s="9"/>
      <c r="J16" s="9"/>
    </row>
    <row r="17" ht="20.25" spans="1:10">
      <c r="A17" s="1" t="s">
        <v>17</v>
      </c>
      <c r="B17" s="81"/>
      <c r="C17" s="81"/>
      <c r="D17" s="9"/>
      <c r="E17" s="87"/>
      <c r="F17" s="81" t="s">
        <v>85</v>
      </c>
      <c r="G17" s="9"/>
      <c r="J17" s="9"/>
    </row>
    <row r="18" ht="20.25" spans="1:10">
      <c r="A18" s="1" t="s">
        <v>20</v>
      </c>
      <c r="B18" s="81"/>
      <c r="C18" s="81"/>
      <c r="D18" s="9"/>
      <c r="E18" s="87"/>
      <c r="F18" s="81" t="s">
        <v>87</v>
      </c>
      <c r="G18" s="9"/>
      <c r="J18" s="9"/>
    </row>
    <row r="19" ht="20.25" spans="1:10">
      <c r="A19" s="1" t="s">
        <v>23</v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>
        <f>SUM(D15:D19)</f>
        <v>13590</v>
      </c>
      <c r="E21" s="90">
        <f>SUM(E15:E19)</f>
        <v>150</v>
      </c>
      <c r="G21" s="85">
        <f>SUM(G15:G19)</f>
        <v>5570</v>
      </c>
      <c r="J21" s="85"/>
    </row>
    <row r="22" ht="20.25" spans="1:10">
      <c r="A22" s="1"/>
      <c r="B22" s="74" t="s">
        <v>0</v>
      </c>
      <c r="C22" s="74"/>
      <c r="D22" s="74"/>
      <c r="E22" s="75"/>
      <c r="F22" s="74" t="s">
        <v>1</v>
      </c>
      <c r="G22" s="75"/>
      <c r="H22" s="74" t="s">
        <v>2</v>
      </c>
      <c r="I22" s="74"/>
      <c r="J22" s="74"/>
    </row>
    <row r="23" ht="20.25" spans="1:10">
      <c r="A23" s="40" t="s">
        <v>28</v>
      </c>
      <c r="B23" s="74" t="s">
        <v>5</v>
      </c>
      <c r="C23" s="74" t="s">
        <v>6</v>
      </c>
      <c r="D23" s="58" t="s">
        <v>7</v>
      </c>
      <c r="E23" s="58" t="s">
        <v>66</v>
      </c>
      <c r="F23" s="74" t="s">
        <v>8</v>
      </c>
      <c r="G23" s="58" t="s">
        <v>7</v>
      </c>
      <c r="H23" s="74" t="s">
        <v>9</v>
      </c>
      <c r="I23" s="74" t="s">
        <v>10</v>
      </c>
      <c r="J23" s="58" t="s">
        <v>7</v>
      </c>
    </row>
    <row r="24" ht="20.25" spans="1:10">
      <c r="A24" s="1" t="s">
        <v>11</v>
      </c>
      <c r="B24" s="81"/>
      <c r="C24" s="81"/>
      <c r="D24" s="9"/>
      <c r="E24" s="87"/>
      <c r="F24" s="81" t="s">
        <v>82</v>
      </c>
      <c r="G24" s="9">
        <v>6425</v>
      </c>
      <c r="J24" s="9"/>
    </row>
    <row r="25" ht="20.25" spans="1:10">
      <c r="A25" s="1" t="s">
        <v>14</v>
      </c>
      <c r="B25" s="81" t="s">
        <v>89</v>
      </c>
      <c r="C25" s="81"/>
      <c r="D25" s="9">
        <v>13590</v>
      </c>
      <c r="E25" s="9">
        <v>150</v>
      </c>
      <c r="F25" s="81" t="s">
        <v>84</v>
      </c>
      <c r="G25" s="9">
        <v>6550</v>
      </c>
      <c r="J25" s="9"/>
    </row>
    <row r="26" ht="20.25" spans="1:10">
      <c r="A26" s="1" t="s">
        <v>17</v>
      </c>
      <c r="B26" s="81" t="s">
        <v>90</v>
      </c>
      <c r="C26" s="81"/>
      <c r="D26" s="9">
        <v>22007.5</v>
      </c>
      <c r="E26" s="9">
        <v>250</v>
      </c>
      <c r="F26" s="81" t="s">
        <v>85</v>
      </c>
      <c r="G26" s="9">
        <v>11300</v>
      </c>
      <c r="J26" s="9"/>
    </row>
    <row r="27" ht="20.25" spans="1:10">
      <c r="A27" s="1" t="s">
        <v>20</v>
      </c>
      <c r="B27" s="81" t="s">
        <v>91</v>
      </c>
      <c r="C27" s="81"/>
      <c r="D27" s="9">
        <v>17606</v>
      </c>
      <c r="E27" s="9">
        <v>200</v>
      </c>
      <c r="F27" s="81" t="s">
        <v>87</v>
      </c>
      <c r="G27" s="9">
        <v>3030</v>
      </c>
      <c r="J27" s="9"/>
    </row>
    <row r="28" ht="20.25" spans="1:10">
      <c r="A28" s="1" t="s">
        <v>23</v>
      </c>
      <c r="B28" s="81"/>
      <c r="C28" s="81"/>
      <c r="D28" s="81"/>
      <c r="E28" s="9"/>
      <c r="G28" s="9"/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>
        <f>SUM(D24:D28)</f>
        <v>53203.5</v>
      </c>
      <c r="E30" s="90">
        <f>SUM(E24:E28)</f>
        <v>600</v>
      </c>
      <c r="G30" s="85">
        <f>SUM(G24:G28)</f>
        <v>27305</v>
      </c>
      <c r="J30" s="85"/>
    </row>
    <row r="31" ht="20.25" spans="1:10">
      <c r="A31" s="1"/>
      <c r="B31" s="74" t="s">
        <v>0</v>
      </c>
      <c r="C31" s="74"/>
      <c r="D31" s="74"/>
      <c r="E31" s="75"/>
      <c r="F31" s="74" t="s">
        <v>1</v>
      </c>
      <c r="G31" s="75"/>
      <c r="H31" s="74" t="s">
        <v>2</v>
      </c>
      <c r="I31" s="74"/>
      <c r="J31" s="74"/>
    </row>
    <row r="32" ht="20.25" spans="1:10">
      <c r="A32" s="40" t="s">
        <v>30</v>
      </c>
      <c r="B32" s="74" t="s">
        <v>5</v>
      </c>
      <c r="C32" s="74" t="s">
        <v>6</v>
      </c>
      <c r="D32" s="58" t="s">
        <v>7</v>
      </c>
      <c r="E32" s="58" t="s">
        <v>66</v>
      </c>
      <c r="F32" s="74" t="s">
        <v>8</v>
      </c>
      <c r="G32" s="58" t="s">
        <v>7</v>
      </c>
      <c r="H32" s="74" t="s">
        <v>9</v>
      </c>
      <c r="I32" s="74" t="s">
        <v>10</v>
      </c>
      <c r="J32" s="58" t="s">
        <v>7</v>
      </c>
    </row>
    <row r="33" ht="20.25" spans="1:10">
      <c r="A33" s="1" t="s">
        <v>11</v>
      </c>
      <c r="B33" s="81"/>
      <c r="C33" s="81"/>
      <c r="D33" s="81"/>
      <c r="E33" s="9"/>
      <c r="F33" s="81" t="s">
        <v>82</v>
      </c>
      <c r="G33" s="9">
        <v>9365</v>
      </c>
      <c r="J33" s="9"/>
    </row>
    <row r="34" ht="20.25" spans="1:10">
      <c r="A34" s="1" t="s">
        <v>14</v>
      </c>
      <c r="B34" s="81" t="s">
        <v>92</v>
      </c>
      <c r="C34" s="81"/>
      <c r="D34" s="9">
        <v>22650</v>
      </c>
      <c r="E34" s="9">
        <v>250</v>
      </c>
      <c r="F34" s="81" t="s">
        <v>84</v>
      </c>
      <c r="G34" s="9">
        <v>10265</v>
      </c>
      <c r="J34" s="9"/>
    </row>
    <row r="35" ht="20.25" spans="1:10">
      <c r="A35" s="1" t="s">
        <v>17</v>
      </c>
      <c r="B35" s="81" t="s">
        <v>93</v>
      </c>
      <c r="C35" s="81"/>
      <c r="D35" s="9">
        <v>17606</v>
      </c>
      <c r="E35" s="9">
        <v>200</v>
      </c>
      <c r="F35" s="81" t="s">
        <v>85</v>
      </c>
      <c r="G35" s="9">
        <v>7045</v>
      </c>
      <c r="J35" s="9"/>
    </row>
    <row r="36" ht="20.25" spans="1:10">
      <c r="A36" s="1" t="s">
        <v>20</v>
      </c>
      <c r="B36" s="81"/>
      <c r="C36" s="81"/>
      <c r="D36" s="81"/>
      <c r="E36" s="9"/>
      <c r="F36" s="81" t="s">
        <v>87</v>
      </c>
      <c r="G36" s="9">
        <v>4650</v>
      </c>
      <c r="J36" s="9"/>
    </row>
    <row r="37" ht="20.25" spans="1:10">
      <c r="A37" s="1" t="s">
        <v>23</v>
      </c>
      <c r="B37" s="81"/>
      <c r="C37" s="81"/>
      <c r="D37" s="81"/>
      <c r="E37" s="9"/>
      <c r="G37" s="9"/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>
        <f>SUM(D33:D37)</f>
        <v>40256</v>
      </c>
      <c r="E39" s="85">
        <f>SUM(E33:E37)</f>
        <v>450</v>
      </c>
      <c r="G39" s="85">
        <f>SUM(G33:G37)</f>
        <v>31325</v>
      </c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topLeftCell="B1" workbookViewId="0">
      <selection activeCell="C7" sqref="C7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>
        <v>46174</v>
      </c>
      <c r="E2" s="9"/>
      <c r="G2" s="9"/>
      <c r="J2" s="9"/>
    </row>
    <row r="3" spans="1:10">
      <c r="B3" s="74" t="s">
        <v>0</v>
      </c>
      <c r="C3" s="74"/>
      <c r="D3" s="74"/>
      <c r="E3" s="75"/>
      <c r="F3" s="74" t="s">
        <v>1</v>
      </c>
      <c r="G3" s="75"/>
      <c r="H3" s="74" t="s">
        <v>2</v>
      </c>
      <c r="I3" s="74"/>
      <c r="J3" s="74"/>
    </row>
    <row r="4" ht="20.25" spans="1:10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74" t="s">
        <v>8</v>
      </c>
      <c r="G4" s="58" t="s">
        <v>7</v>
      </c>
      <c r="H4" s="74" t="s">
        <v>9</v>
      </c>
      <c r="I4" s="74" t="s">
        <v>10</v>
      </c>
      <c r="J4" s="58" t="s">
        <v>7</v>
      </c>
    </row>
    <row r="5" ht="20.25" spans="1:10">
      <c r="A5" s="1" t="s">
        <v>11</v>
      </c>
      <c r="B5" s="81"/>
      <c r="C5" s="81"/>
      <c r="D5" s="9"/>
      <c r="E5" s="102"/>
      <c r="F5" s="81" t="s">
        <v>94</v>
      </c>
      <c r="G5" s="9">
        <v>9595</v>
      </c>
      <c r="J5" s="9"/>
    </row>
    <row r="6" ht="20.25" spans="1:10">
      <c r="A6" s="1" t="s">
        <v>14</v>
      </c>
      <c r="B6" s="81" t="s">
        <v>95</v>
      </c>
      <c r="C6" s="81"/>
      <c r="D6" s="9">
        <v>15754</v>
      </c>
      <c r="E6" s="9">
        <v>200</v>
      </c>
      <c r="F6" s="81" t="s">
        <v>96</v>
      </c>
      <c r="G6" s="9">
        <v>8940</v>
      </c>
      <c r="J6" s="9"/>
    </row>
    <row r="7" ht="20.25" spans="1:10">
      <c r="A7" s="1" t="s">
        <v>17</v>
      </c>
      <c r="B7" s="81"/>
      <c r="C7" s="81"/>
      <c r="D7" s="9">
        <v>15754</v>
      </c>
      <c r="E7" s="9">
        <v>200</v>
      </c>
      <c r="F7" s="81" t="s">
        <v>97</v>
      </c>
      <c r="G7" s="9">
        <v>11935</v>
      </c>
      <c r="J7" s="9"/>
    </row>
    <row r="8" ht="20.25" spans="1:10">
      <c r="A8" s="1" t="s">
        <v>20</v>
      </c>
      <c r="B8" s="81"/>
      <c r="C8" s="81"/>
      <c r="D8" s="9">
        <v>15754</v>
      </c>
      <c r="E8" s="9"/>
      <c r="F8" s="81" t="s">
        <v>98</v>
      </c>
      <c r="G8" s="9">
        <v>8313</v>
      </c>
      <c r="J8" s="9"/>
    </row>
    <row r="9" ht="20.25" spans="1:10">
      <c r="A9" s="1" t="s">
        <v>23</v>
      </c>
      <c r="B9" s="81"/>
      <c r="C9" s="81"/>
      <c r="D9" s="9"/>
      <c r="E9" s="9"/>
      <c r="F9" s="83" t="s">
        <v>99</v>
      </c>
      <c r="G9" s="9">
        <v>6910</v>
      </c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>
        <f>SUM(D5:D9)</f>
        <v>47262</v>
      </c>
      <c r="E12" s="85">
        <f>SUM(E5:E9)</f>
        <v>400</v>
      </c>
      <c r="F12" s="85"/>
      <c r="G12" s="85">
        <f>SUM(G5:G9)</f>
        <v>45693</v>
      </c>
      <c r="H12" s="85"/>
      <c r="I12" s="85"/>
      <c r="J12" s="85"/>
    </row>
    <row r="13" ht="20.25" spans="1:10">
      <c r="A13" s="1"/>
      <c r="B13" s="74" t="s">
        <v>0</v>
      </c>
      <c r="C13" s="74"/>
      <c r="D13" s="74"/>
      <c r="E13" s="75"/>
      <c r="F13" s="74" t="s">
        <v>1</v>
      </c>
      <c r="G13" s="75"/>
      <c r="H13" s="74" t="s">
        <v>2</v>
      </c>
      <c r="I13" s="74"/>
      <c r="J13" s="74"/>
    </row>
    <row r="14" ht="20.25" spans="1:10">
      <c r="A14" s="2" t="s">
        <v>26</v>
      </c>
      <c r="B14" s="74" t="s">
        <v>5</v>
      </c>
      <c r="C14" s="74" t="s">
        <v>6</v>
      </c>
      <c r="D14" s="58" t="s">
        <v>7</v>
      </c>
      <c r="E14" s="58" t="s">
        <v>66</v>
      </c>
      <c r="F14" s="74" t="s">
        <v>8</v>
      </c>
      <c r="G14" s="58" t="s">
        <v>7</v>
      </c>
      <c r="H14" s="74" t="s">
        <v>9</v>
      </c>
      <c r="I14" s="74" t="s">
        <v>10</v>
      </c>
      <c r="J14" s="58" t="s">
        <v>7</v>
      </c>
    </row>
    <row r="15" ht="20.25" spans="1:10">
      <c r="A15" s="1" t="s">
        <v>11</v>
      </c>
      <c r="B15" s="81"/>
      <c r="C15" s="81"/>
      <c r="D15" s="9"/>
      <c r="E15" s="87"/>
      <c r="F15" s="81" t="s">
        <v>94</v>
      </c>
      <c r="G15" s="9">
        <v>6650</v>
      </c>
      <c r="J15" s="9"/>
    </row>
    <row r="16" ht="20.25" spans="1:10">
      <c r="A16" s="1" t="s">
        <v>14</v>
      </c>
      <c r="B16" s="81" t="s">
        <v>100</v>
      </c>
      <c r="C16" s="81"/>
      <c r="D16" s="9">
        <v>15754</v>
      </c>
      <c r="E16" s="9">
        <v>200</v>
      </c>
      <c r="F16" s="81" t="s">
        <v>96</v>
      </c>
      <c r="G16" s="9">
        <v>10630</v>
      </c>
      <c r="J16" s="9"/>
    </row>
    <row r="17" ht="20.25" spans="1:10">
      <c r="A17" s="1" t="s">
        <v>17</v>
      </c>
      <c r="B17" s="81"/>
      <c r="C17" s="81"/>
      <c r="D17" s="9">
        <v>15754</v>
      </c>
      <c r="E17" s="87">
        <v>200</v>
      </c>
      <c r="F17" s="81" t="s">
        <v>97</v>
      </c>
      <c r="G17" s="9">
        <v>7155</v>
      </c>
      <c r="J17" s="9"/>
    </row>
    <row r="18" ht="20.25" spans="1:10">
      <c r="A18" s="1" t="s">
        <v>20</v>
      </c>
      <c r="B18" s="81"/>
      <c r="C18" s="81"/>
      <c r="D18" s="9"/>
      <c r="E18" s="87"/>
      <c r="F18" s="81" t="s">
        <v>98</v>
      </c>
      <c r="G18" s="9">
        <v>9468</v>
      </c>
      <c r="J18" s="9"/>
    </row>
    <row r="19" ht="20.25" spans="1:10">
      <c r="A19" s="1" t="s">
        <v>23</v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>
        <f>SUM(D15:D19)</f>
        <v>31508</v>
      </c>
      <c r="E21" s="90">
        <f>SUM(E15:E19)</f>
        <v>400</v>
      </c>
      <c r="G21" s="85">
        <f>SUM(G15:G19)</f>
        <v>33903</v>
      </c>
      <c r="J21" s="85"/>
    </row>
    <row r="22" ht="20.25" spans="1:10">
      <c r="A22" s="1"/>
      <c r="B22" s="74" t="s">
        <v>0</v>
      </c>
      <c r="C22" s="74"/>
      <c r="D22" s="74"/>
      <c r="E22" s="75"/>
      <c r="F22" s="74" t="s">
        <v>1</v>
      </c>
      <c r="G22" s="75"/>
      <c r="H22" s="74" t="s">
        <v>2</v>
      </c>
      <c r="I22" s="74"/>
      <c r="J22" s="74"/>
    </row>
    <row r="23" ht="20.25" spans="1:10">
      <c r="A23" s="40" t="s">
        <v>28</v>
      </c>
      <c r="B23" s="74" t="s">
        <v>5</v>
      </c>
      <c r="C23" s="74" t="s">
        <v>6</v>
      </c>
      <c r="D23" s="58" t="s">
        <v>7</v>
      </c>
      <c r="E23" s="58" t="s">
        <v>66</v>
      </c>
      <c r="F23" s="74" t="s">
        <v>8</v>
      </c>
      <c r="G23" s="58" t="s">
        <v>7</v>
      </c>
      <c r="H23" s="74" t="s">
        <v>9</v>
      </c>
      <c r="I23" s="74" t="s">
        <v>10</v>
      </c>
      <c r="J23" s="58" t="s">
        <v>7</v>
      </c>
    </row>
    <row r="24" ht="20.25" spans="1:10">
      <c r="A24" s="1" t="s">
        <v>11</v>
      </c>
      <c r="B24" s="81"/>
      <c r="C24" s="81"/>
      <c r="D24" s="9"/>
      <c r="E24" s="87"/>
      <c r="F24" s="81" t="s">
        <v>94</v>
      </c>
      <c r="G24" s="9">
        <v>5070</v>
      </c>
      <c r="J24" s="9"/>
    </row>
    <row r="25" ht="20.25" spans="1:10">
      <c r="A25" s="1" t="s">
        <v>14</v>
      </c>
      <c r="B25" s="81"/>
      <c r="C25" s="81"/>
      <c r="D25" s="9">
        <v>15754</v>
      </c>
      <c r="E25" s="9">
        <v>200</v>
      </c>
      <c r="F25" s="81" t="s">
        <v>96</v>
      </c>
      <c r="G25" s="9"/>
      <c r="J25" s="9"/>
    </row>
    <row r="26" ht="20.25" spans="1:10">
      <c r="A26" s="1" t="s">
        <v>17</v>
      </c>
      <c r="B26" s="81"/>
      <c r="C26" s="81"/>
      <c r="D26" s="9"/>
      <c r="E26" s="9"/>
      <c r="F26" s="81" t="s">
        <v>97</v>
      </c>
      <c r="G26" s="9"/>
      <c r="J26" s="9"/>
    </row>
    <row r="27" ht="20.25" spans="1:10">
      <c r="A27" s="1" t="s">
        <v>20</v>
      </c>
      <c r="B27" s="81"/>
      <c r="C27" s="81"/>
      <c r="D27" s="9"/>
      <c r="E27" s="9"/>
      <c r="F27" s="81" t="s">
        <v>98</v>
      </c>
      <c r="G27" s="9"/>
      <c r="J27" s="9"/>
    </row>
    <row r="28" ht="20.25" spans="1:10">
      <c r="A28" s="1" t="s">
        <v>23</v>
      </c>
      <c r="B28" s="81"/>
      <c r="C28" s="81"/>
      <c r="D28" s="81"/>
      <c r="E28" s="9"/>
      <c r="F28" s="83" t="s">
        <v>99</v>
      </c>
      <c r="G28" s="9">
        <v>5950</v>
      </c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>
        <f>SUM(D24:D28)</f>
        <v>15754</v>
      </c>
      <c r="E30" s="90">
        <f>SUM(E24:E28)</f>
        <v>200</v>
      </c>
      <c r="G30" s="85">
        <f>SUM(G24:G28)</f>
        <v>11020</v>
      </c>
      <c r="J30" s="85"/>
    </row>
    <row r="31" ht="20.25" spans="1:10">
      <c r="A31" s="1"/>
      <c r="B31" s="74" t="s">
        <v>0</v>
      </c>
      <c r="C31" s="74"/>
      <c r="D31" s="74"/>
      <c r="E31" s="75"/>
      <c r="F31" s="74" t="s">
        <v>1</v>
      </c>
      <c r="G31" s="75"/>
      <c r="H31" s="74" t="s">
        <v>2</v>
      </c>
      <c r="I31" s="74"/>
      <c r="J31" s="74"/>
    </row>
    <row r="32" ht="20.25" spans="1:10">
      <c r="A32" s="40" t="s">
        <v>30</v>
      </c>
      <c r="B32" s="74" t="s">
        <v>5</v>
      </c>
      <c r="C32" s="74" t="s">
        <v>6</v>
      </c>
      <c r="D32" s="58" t="s">
        <v>7</v>
      </c>
      <c r="E32" s="58" t="s">
        <v>66</v>
      </c>
      <c r="F32" s="74" t="s">
        <v>8</v>
      </c>
      <c r="G32" s="58" t="s">
        <v>7</v>
      </c>
      <c r="H32" s="74" t="s">
        <v>9</v>
      </c>
      <c r="I32" s="74" t="s">
        <v>10</v>
      </c>
      <c r="J32" s="58" t="s">
        <v>7</v>
      </c>
    </row>
    <row r="33" ht="20.25" spans="1:10">
      <c r="A33" s="1" t="s">
        <v>11</v>
      </c>
      <c r="B33" s="81"/>
      <c r="C33" s="81"/>
      <c r="D33" s="81"/>
      <c r="E33" s="9"/>
      <c r="F33" s="81" t="s">
        <v>94</v>
      </c>
      <c r="G33" s="9">
        <v>6750</v>
      </c>
      <c r="J33" s="9"/>
    </row>
    <row r="34" ht="20.25" spans="1:10">
      <c r="A34" s="1" t="s">
        <v>14</v>
      </c>
      <c r="B34" s="81" t="s">
        <v>101</v>
      </c>
      <c r="C34" s="81"/>
      <c r="D34" s="9">
        <v>15754</v>
      </c>
      <c r="E34" s="9">
        <v>200</v>
      </c>
      <c r="F34" s="81" t="s">
        <v>96</v>
      </c>
      <c r="G34" s="9">
        <v>11640</v>
      </c>
      <c r="J34" s="9"/>
    </row>
    <row r="35" ht="20.25" spans="1:10">
      <c r="A35" s="1" t="s">
        <v>17</v>
      </c>
      <c r="B35" s="81"/>
      <c r="C35" s="81"/>
      <c r="D35" s="9">
        <v>15754</v>
      </c>
      <c r="E35" s="87">
        <v>200</v>
      </c>
      <c r="F35" s="81" t="s">
        <v>97</v>
      </c>
      <c r="G35" s="9">
        <v>7900</v>
      </c>
      <c r="J35" s="9"/>
    </row>
    <row r="36" ht="20.25" spans="1:10">
      <c r="A36" s="1" t="s">
        <v>20</v>
      </c>
      <c r="B36" s="81"/>
      <c r="C36" s="81"/>
      <c r="D36" s="9">
        <v>15754</v>
      </c>
      <c r="E36" s="87">
        <v>200</v>
      </c>
      <c r="F36" s="81" t="s">
        <v>98</v>
      </c>
      <c r="G36" s="9">
        <v>8008</v>
      </c>
      <c r="J36" s="9"/>
    </row>
    <row r="37" ht="20.25" spans="1:10">
      <c r="A37" s="1" t="s">
        <v>23</v>
      </c>
      <c r="B37" s="81"/>
      <c r="C37" s="81"/>
      <c r="D37" s="81">
        <v>14758</v>
      </c>
      <c r="E37" s="9">
        <v>200</v>
      </c>
      <c r="F37" s="83" t="s">
        <v>99</v>
      </c>
      <c r="G37" s="9">
        <v>9815</v>
      </c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>
        <f>SUM(D33:D37)</f>
        <v>62020</v>
      </c>
      <c r="E39" s="85">
        <f>SUM(E33:E37)</f>
        <v>800</v>
      </c>
      <c r="G39" s="85">
        <f>SUM(G33:G37)</f>
        <v>44113</v>
      </c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9"/>
  <sheetViews>
    <sheetView view="pageBreakPreview" zoomScaleNormal="100" topLeftCell="A15" workbookViewId="0">
      <selection activeCell="A1" sqref="A1:K39"/>
    </sheetView>
  </sheetViews>
  <sheetFormatPr defaultColWidth="9" defaultRowHeight="14.25"/>
  <cols>
    <col min="1" max="1" width="12.75" customWidth="1"/>
    <col min="2" max="4" width="16.5" customWidth="1"/>
    <col min="5" max="6" width="14.5" customWidth="1"/>
    <col min="7" max="7" width="23.625" customWidth="1"/>
    <col min="8" max="8" width="12.5" customWidth="1"/>
    <col min="10" max="10" width="12.875" customWidth="1"/>
  </cols>
  <sheetData>
    <row r="1" spans="1:11">
      <c r="E1" s="9"/>
      <c r="F1" s="9"/>
      <c r="H1" s="9"/>
      <c r="K1" s="9"/>
    </row>
    <row r="2" spans="1:11">
      <c r="A2" s="73">
        <v>46204</v>
      </c>
      <c r="E2" s="9"/>
      <c r="F2" s="9"/>
      <c r="H2" s="9"/>
      <c r="K2" s="9"/>
    </row>
    <row r="3" spans="1:11">
      <c r="B3" s="74" t="s">
        <v>0</v>
      </c>
      <c r="C3" s="74"/>
      <c r="D3" s="74"/>
      <c r="E3" s="75"/>
      <c r="F3" s="75"/>
      <c r="G3" s="74" t="s">
        <v>1</v>
      </c>
      <c r="H3" s="75"/>
      <c r="I3" s="74" t="s">
        <v>2</v>
      </c>
      <c r="J3" s="74"/>
      <c r="K3" s="74"/>
    </row>
    <row r="4" ht="20.25" spans="1:11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58" t="s">
        <v>102</v>
      </c>
      <c r="G4" s="74" t="s">
        <v>8</v>
      </c>
      <c r="H4" s="58" t="s">
        <v>7</v>
      </c>
      <c r="I4" s="74" t="s">
        <v>9</v>
      </c>
      <c r="J4" s="74" t="s">
        <v>10</v>
      </c>
      <c r="K4" s="58" t="s">
        <v>7</v>
      </c>
    </row>
    <row r="5" ht="20.25" spans="1:11">
      <c r="A5" s="1" t="s">
        <v>11</v>
      </c>
      <c r="B5" s="81"/>
      <c r="C5" s="81"/>
      <c r="D5" s="9">
        <f>E5*F5</f>
        <v>11068.5</v>
      </c>
      <c r="E5" s="9">
        <v>150</v>
      </c>
      <c r="F5" s="9">
        <v>73.79</v>
      </c>
      <c r="G5" s="81" t="s">
        <v>103</v>
      </c>
      <c r="H5" s="9">
        <v>10570</v>
      </c>
      <c r="K5" s="9"/>
    </row>
    <row r="6" ht="20.25" spans="1:11">
      <c r="A6" s="1" t="s">
        <v>14</v>
      </c>
      <c r="B6" s="81"/>
      <c r="C6" s="81"/>
      <c r="D6" s="9">
        <v>14758</v>
      </c>
      <c r="E6" s="9">
        <v>200</v>
      </c>
      <c r="F6" s="9"/>
      <c r="G6" s="81" t="s">
        <v>104</v>
      </c>
      <c r="H6" s="9">
        <v>6900</v>
      </c>
      <c r="K6" s="9"/>
    </row>
    <row r="7" ht="20.25" spans="1:11">
      <c r="A7" s="1" t="s">
        <v>17</v>
      </c>
      <c r="B7" s="81"/>
      <c r="C7" s="81"/>
      <c r="D7" s="9"/>
      <c r="E7" s="9"/>
      <c r="F7" s="9"/>
      <c r="G7" s="81" t="s">
        <v>105</v>
      </c>
      <c r="H7" s="9">
        <v>9065</v>
      </c>
      <c r="K7" s="9"/>
    </row>
    <row r="8" ht="20.25" spans="1:11">
      <c r="A8" s="1" t="s">
        <v>20</v>
      </c>
      <c r="B8" s="81"/>
      <c r="C8" s="81"/>
      <c r="D8" s="9">
        <v>16064</v>
      </c>
      <c r="E8" s="9">
        <v>200</v>
      </c>
      <c r="F8" s="9"/>
      <c r="G8" s="81" t="s">
        <v>106</v>
      </c>
      <c r="H8" s="9">
        <v>9920</v>
      </c>
      <c r="K8" s="9"/>
    </row>
    <row r="9" ht="20.25" spans="1:11">
      <c r="A9" s="1" t="s">
        <v>23</v>
      </c>
      <c r="B9" s="81"/>
      <c r="C9" s="81"/>
      <c r="D9" s="81"/>
      <c r="E9" s="9"/>
      <c r="F9" s="9"/>
      <c r="G9" s="83"/>
      <c r="H9" s="9"/>
      <c r="I9" s="81"/>
      <c r="J9" s="81"/>
      <c r="K9" s="9"/>
    </row>
    <row r="10" ht="20.25" spans="1:11">
      <c r="A10" s="1"/>
      <c r="B10" s="81"/>
      <c r="C10" s="81"/>
      <c r="D10" s="81"/>
      <c r="E10" s="9"/>
      <c r="F10" s="9"/>
      <c r="G10" s="9"/>
      <c r="H10" s="9"/>
      <c r="I10" s="9"/>
      <c r="J10" s="9"/>
      <c r="K10" s="9"/>
    </row>
    <row r="11" ht="20.25" spans="1:11">
      <c r="A11" s="1"/>
      <c r="B11" s="81"/>
      <c r="C11" s="81"/>
      <c r="D11" s="81"/>
      <c r="E11" s="9"/>
      <c r="F11" s="9"/>
      <c r="G11" s="9"/>
      <c r="H11" s="9"/>
      <c r="I11" s="9"/>
      <c r="J11" s="9"/>
      <c r="K11" s="9"/>
    </row>
    <row r="12" s="72" customFormat="1" ht="20.25" spans="1:11">
      <c r="A12" s="4"/>
      <c r="B12" s="84"/>
      <c r="C12" s="84"/>
      <c r="D12" s="84">
        <f>SUM(D5:D9)</f>
        <v>41890.5</v>
      </c>
      <c r="E12" s="85">
        <f>SUM(E5:E9)</f>
        <v>550</v>
      </c>
      <c r="F12" s="85"/>
      <c r="G12" s="85"/>
      <c r="H12" s="85">
        <f>SUM(H5:H9)</f>
        <v>36455</v>
      </c>
      <c r="I12" s="85"/>
      <c r="J12" s="85"/>
      <c r="K12" s="85"/>
    </row>
    <row r="13" ht="20.25" spans="1:11">
      <c r="A13" s="1"/>
      <c r="B13" s="74" t="s">
        <v>0</v>
      </c>
      <c r="C13" s="74"/>
      <c r="D13" s="74"/>
      <c r="E13" s="75"/>
      <c r="F13" s="75"/>
      <c r="G13" s="74" t="s">
        <v>1</v>
      </c>
      <c r="H13" s="75"/>
      <c r="I13" s="74" t="s">
        <v>2</v>
      </c>
      <c r="J13" s="74"/>
      <c r="K13" s="74"/>
    </row>
    <row r="14" ht="20.25" spans="1:11">
      <c r="A14" s="2" t="s">
        <v>26</v>
      </c>
      <c r="B14" s="74" t="s">
        <v>5</v>
      </c>
      <c r="C14" s="74" t="s">
        <v>6</v>
      </c>
      <c r="D14" s="58" t="s">
        <v>7</v>
      </c>
      <c r="E14" s="58" t="s">
        <v>66</v>
      </c>
      <c r="F14" s="58" t="s">
        <v>102</v>
      </c>
      <c r="G14" s="74" t="s">
        <v>8</v>
      </c>
      <c r="H14" s="58" t="s">
        <v>7</v>
      </c>
      <c r="I14" s="74" t="s">
        <v>9</v>
      </c>
      <c r="J14" s="74" t="s">
        <v>10</v>
      </c>
      <c r="K14" s="58" t="s">
        <v>7</v>
      </c>
    </row>
    <row r="15" ht="20.25" spans="1:11">
      <c r="A15" s="1" t="s">
        <v>11</v>
      </c>
      <c r="B15" s="81"/>
      <c r="C15" s="81"/>
      <c r="D15" s="9"/>
      <c r="E15" s="87"/>
      <c r="F15" s="87"/>
      <c r="G15" s="81" t="s">
        <v>103</v>
      </c>
      <c r="H15" s="9">
        <v>7855</v>
      </c>
      <c r="K15" s="9"/>
    </row>
    <row r="16" ht="20.25" spans="1:11">
      <c r="A16" s="1" t="s">
        <v>14</v>
      </c>
      <c r="B16" s="81"/>
      <c r="C16" s="81"/>
      <c r="D16" s="9">
        <v>18152.34</v>
      </c>
      <c r="E16" s="9">
        <v>246</v>
      </c>
      <c r="F16" s="9"/>
      <c r="G16" s="81" t="s">
        <v>104</v>
      </c>
      <c r="H16" s="9">
        <v>2320</v>
      </c>
      <c r="K16" s="9"/>
    </row>
    <row r="17" ht="20.25" spans="1:11">
      <c r="A17" s="1" t="s">
        <v>17</v>
      </c>
      <c r="B17" s="81"/>
      <c r="C17" s="81"/>
      <c r="D17" s="9">
        <v>12048</v>
      </c>
      <c r="E17" s="87">
        <v>150</v>
      </c>
      <c r="F17" s="87"/>
      <c r="G17" s="81" t="s">
        <v>105</v>
      </c>
      <c r="H17" s="9">
        <v>4535</v>
      </c>
      <c r="K17" s="9"/>
    </row>
    <row r="18" ht="20.25" spans="1:11">
      <c r="A18" s="1" t="s">
        <v>20</v>
      </c>
      <c r="B18" s="81"/>
      <c r="C18" s="81"/>
      <c r="D18" s="9">
        <v>12048</v>
      </c>
      <c r="E18" s="87">
        <v>150</v>
      </c>
      <c r="F18" s="87"/>
      <c r="G18" s="81" t="s">
        <v>106</v>
      </c>
      <c r="H18" s="9">
        <v>9165</v>
      </c>
      <c r="K18" s="9"/>
    </row>
    <row r="19" ht="20.25" spans="1:11">
      <c r="A19" s="1" t="s">
        <v>23</v>
      </c>
      <c r="B19" s="81"/>
      <c r="C19" s="81"/>
      <c r="D19" s="81"/>
      <c r="E19" s="87"/>
      <c r="F19" s="87"/>
      <c r="H19" s="9"/>
      <c r="K19" s="9"/>
    </row>
    <row r="20" ht="20.25" spans="1:11">
      <c r="A20" s="1"/>
      <c r="E20" s="87"/>
      <c r="F20" s="87"/>
      <c r="H20" s="9"/>
      <c r="K20" s="9"/>
    </row>
    <row r="21" s="72" customFormat="1" ht="20.25" spans="1:11">
      <c r="A21" s="5"/>
      <c r="D21" s="89">
        <f>SUM(D15:D19)</f>
        <v>42248.34</v>
      </c>
      <c r="E21" s="90">
        <f>SUM(E15:E19)</f>
        <v>546</v>
      </c>
      <c r="F21" s="90"/>
      <c r="H21" s="85">
        <f>SUM(H15:H19)</f>
        <v>23875</v>
      </c>
      <c r="K21" s="85"/>
    </row>
    <row r="22" ht="20.25" spans="1:11">
      <c r="A22" s="1"/>
      <c r="B22" s="74" t="s">
        <v>0</v>
      </c>
      <c r="C22" s="74"/>
      <c r="D22" s="74"/>
      <c r="E22" s="75"/>
      <c r="F22" s="75"/>
      <c r="G22" s="74" t="s">
        <v>1</v>
      </c>
      <c r="H22" s="75"/>
      <c r="I22" s="74" t="s">
        <v>2</v>
      </c>
      <c r="J22" s="74"/>
      <c r="K22" s="74"/>
    </row>
    <row r="23" ht="20.25" spans="1:11">
      <c r="A23" s="40" t="s">
        <v>28</v>
      </c>
      <c r="B23" s="74" t="s">
        <v>5</v>
      </c>
      <c r="C23" s="74" t="s">
        <v>6</v>
      </c>
      <c r="D23" s="58" t="s">
        <v>7</v>
      </c>
      <c r="E23" s="58" t="s">
        <v>66</v>
      </c>
      <c r="F23" s="58" t="s">
        <v>102</v>
      </c>
      <c r="G23" s="74" t="s">
        <v>8</v>
      </c>
      <c r="H23" s="58" t="s">
        <v>7</v>
      </c>
      <c r="I23" s="74" t="s">
        <v>9</v>
      </c>
      <c r="J23" s="74" t="s">
        <v>10</v>
      </c>
      <c r="K23" s="58" t="s">
        <v>7</v>
      </c>
    </row>
    <row r="24" ht="20.25" spans="1:11">
      <c r="A24" s="1" t="s">
        <v>11</v>
      </c>
      <c r="B24" s="81"/>
      <c r="C24" s="81"/>
      <c r="D24" s="9">
        <v>11068.5</v>
      </c>
      <c r="E24" s="87">
        <v>150</v>
      </c>
      <c r="F24" s="87"/>
      <c r="G24" s="81" t="s">
        <v>103</v>
      </c>
      <c r="H24" s="9">
        <v>9690</v>
      </c>
      <c r="K24" s="9"/>
    </row>
    <row r="25" ht="20.25" spans="1:11">
      <c r="A25" s="1" t="s">
        <v>14</v>
      </c>
      <c r="B25" s="81"/>
      <c r="C25" s="81"/>
      <c r="D25" s="9">
        <f>E25*F25</f>
        <v>11068.5</v>
      </c>
      <c r="E25" s="9">
        <v>150</v>
      </c>
      <c r="F25" s="9">
        <v>73.79</v>
      </c>
      <c r="G25" s="81" t="s">
        <v>104</v>
      </c>
      <c r="H25" s="9">
        <v>7160</v>
      </c>
      <c r="K25" s="9"/>
    </row>
    <row r="26" ht="20.25" spans="1:11">
      <c r="A26" s="1" t="s">
        <v>17</v>
      </c>
      <c r="B26" s="81"/>
      <c r="C26" s="81"/>
      <c r="D26" s="9"/>
      <c r="E26" s="9"/>
      <c r="F26" s="9"/>
      <c r="G26" s="81" t="s">
        <v>105</v>
      </c>
      <c r="H26" s="9">
        <v>11490</v>
      </c>
      <c r="K26" s="9"/>
    </row>
    <row r="27" ht="20.25" spans="1:11">
      <c r="A27" s="1" t="s">
        <v>20</v>
      </c>
      <c r="B27" s="81"/>
      <c r="C27" s="81"/>
      <c r="D27" s="9">
        <v>19923</v>
      </c>
      <c r="E27" s="9">
        <v>270</v>
      </c>
      <c r="F27" s="9"/>
      <c r="G27" s="81" t="s">
        <v>106</v>
      </c>
      <c r="H27" s="9">
        <v>8660</v>
      </c>
      <c r="K27" s="9"/>
    </row>
    <row r="28" ht="20.25" spans="1:11">
      <c r="A28" s="1" t="s">
        <v>23</v>
      </c>
      <c r="B28" s="81"/>
      <c r="C28" s="81"/>
      <c r="D28" s="81"/>
      <c r="E28" s="9"/>
      <c r="F28" s="9"/>
      <c r="G28" s="81"/>
      <c r="H28" s="9"/>
      <c r="K28" s="9"/>
    </row>
    <row r="29" ht="20.25" spans="1:11">
      <c r="A29" s="1"/>
      <c r="E29" s="9"/>
      <c r="F29" s="9"/>
      <c r="H29" s="9"/>
      <c r="K29" s="9"/>
    </row>
    <row r="30" s="72" customFormat="1" ht="20.25" spans="1:11">
      <c r="A30" s="8"/>
      <c r="D30" s="89">
        <f>SUM(D24:D28)</f>
        <v>42060</v>
      </c>
      <c r="E30" s="90">
        <f>SUM(E24:E28)</f>
        <v>570</v>
      </c>
      <c r="F30" s="90"/>
      <c r="H30" s="85">
        <f>SUM(H24:H28)</f>
        <v>37000</v>
      </c>
      <c r="K30" s="85"/>
    </row>
    <row r="31" ht="20.25" spans="1:11">
      <c r="A31" s="1"/>
      <c r="B31" s="74" t="s">
        <v>0</v>
      </c>
      <c r="C31" s="74"/>
      <c r="D31" s="74"/>
      <c r="E31" s="75"/>
      <c r="F31" s="75"/>
      <c r="G31" s="74" t="s">
        <v>1</v>
      </c>
      <c r="H31" s="75"/>
      <c r="I31" s="74" t="s">
        <v>2</v>
      </c>
      <c r="J31" s="74"/>
      <c r="K31" s="74"/>
    </row>
    <row r="32" ht="20.25" spans="1:11">
      <c r="A32" s="40" t="s">
        <v>30</v>
      </c>
      <c r="B32" s="74" t="s">
        <v>5</v>
      </c>
      <c r="C32" s="74" t="s">
        <v>6</v>
      </c>
      <c r="D32" s="58" t="s">
        <v>7</v>
      </c>
      <c r="E32" s="58" t="s">
        <v>66</v>
      </c>
      <c r="F32" s="58" t="s">
        <v>102</v>
      </c>
      <c r="G32" s="74" t="s">
        <v>8</v>
      </c>
      <c r="H32" s="58" t="s">
        <v>7</v>
      </c>
      <c r="I32" s="74" t="s">
        <v>9</v>
      </c>
      <c r="J32" s="74" t="s">
        <v>10</v>
      </c>
      <c r="K32" s="58" t="s">
        <v>7</v>
      </c>
    </row>
    <row r="33" ht="20.25" spans="1:11">
      <c r="A33" s="1" t="s">
        <v>11</v>
      </c>
      <c r="B33" s="81"/>
      <c r="C33" s="81"/>
      <c r="D33" s="81">
        <f>E33*F33</f>
        <v>14758</v>
      </c>
      <c r="E33" s="9">
        <v>200</v>
      </c>
      <c r="F33" s="9">
        <v>73.79</v>
      </c>
      <c r="G33" s="81" t="s">
        <v>103</v>
      </c>
      <c r="H33" s="9"/>
      <c r="K33" s="9"/>
    </row>
    <row r="34" ht="20.25" spans="1:11">
      <c r="A34" s="1" t="s">
        <v>14</v>
      </c>
      <c r="B34" s="81"/>
      <c r="C34" s="81"/>
      <c r="D34" s="9"/>
      <c r="E34" s="9"/>
      <c r="F34" s="9"/>
      <c r="G34" s="81" t="s">
        <v>104</v>
      </c>
      <c r="H34" s="9">
        <v>4535</v>
      </c>
      <c r="K34" s="9"/>
    </row>
    <row r="35" ht="20.25" spans="1:11">
      <c r="A35" s="1" t="s">
        <v>17</v>
      </c>
      <c r="B35" s="81"/>
      <c r="C35" s="81"/>
      <c r="D35" s="9"/>
      <c r="E35" s="87"/>
      <c r="F35" s="87"/>
      <c r="G35" s="81" t="s">
        <v>105</v>
      </c>
      <c r="H35" s="9">
        <v>3905</v>
      </c>
      <c r="K35" s="9"/>
    </row>
    <row r="36" ht="20.25" spans="1:11">
      <c r="A36" s="1" t="s">
        <v>20</v>
      </c>
      <c r="B36" s="81"/>
      <c r="C36" s="81"/>
      <c r="D36" s="9">
        <v>16064</v>
      </c>
      <c r="E36" s="87"/>
      <c r="F36" s="87"/>
      <c r="G36" s="81" t="s">
        <v>106</v>
      </c>
      <c r="H36" s="9">
        <v>6695</v>
      </c>
      <c r="K36" s="9"/>
    </row>
    <row r="37" ht="20.25" spans="1:11">
      <c r="A37" s="1" t="s">
        <v>23</v>
      </c>
      <c r="B37" s="81"/>
      <c r="C37" s="81"/>
      <c r="D37" s="81"/>
      <c r="E37" s="9"/>
      <c r="F37" s="9"/>
      <c r="H37" s="9"/>
      <c r="K37" s="9"/>
    </row>
    <row r="38" ht="20.25" spans="1:11">
      <c r="A38" s="1"/>
      <c r="E38" s="9"/>
      <c r="F38" s="9"/>
      <c r="H38" s="9"/>
      <c r="K38" s="9"/>
    </row>
    <row r="39" s="72" customFormat="1" ht="20.25" spans="1:11">
      <c r="A39" s="8"/>
      <c r="D39" s="72">
        <f>SUM(D33:D37)</f>
        <v>30822</v>
      </c>
      <c r="E39" s="85">
        <f>SUM(E33:E37)</f>
        <v>200</v>
      </c>
      <c r="F39" s="85"/>
      <c r="H39" s="85">
        <f>SUM(H33:H37)</f>
        <v>15135</v>
      </c>
      <c r="K39" s="85"/>
    </row>
  </sheetData>
  <mergeCells count="12">
    <mergeCell ref="B3:E3"/>
    <mergeCell ref="G3:H3"/>
    <mergeCell ref="I3:K3"/>
    <mergeCell ref="B13:E13"/>
    <mergeCell ref="G13:H13"/>
    <mergeCell ref="I13:K13"/>
    <mergeCell ref="B22:E22"/>
    <mergeCell ref="G22:H22"/>
    <mergeCell ref="I22:K22"/>
    <mergeCell ref="B31:E31"/>
    <mergeCell ref="G31:H31"/>
    <mergeCell ref="I31:K31"/>
  </mergeCells>
  <pageMargins left="1" right="1" top="1" bottom="1" header="0.5" footer="0.5"/>
  <pageSetup paperSize="9" scale="72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5"/>
  <sheetViews>
    <sheetView view="pageBreakPreview" zoomScaleNormal="100" topLeftCell="A10" workbookViewId="0">
      <selection activeCell="A1" sqref="A1:L45"/>
    </sheetView>
  </sheetViews>
  <sheetFormatPr defaultColWidth="9" defaultRowHeight="14.25"/>
  <cols>
    <col min="1" max="1" width="12.75" customWidth="1"/>
    <col min="2" max="4" width="16.5" customWidth="1"/>
    <col min="5" max="7" width="14.5" customWidth="1"/>
    <col min="8" max="8" width="23.625" customWidth="1"/>
    <col min="9" max="9" width="12.5" customWidth="1"/>
    <col min="11" max="11" width="12.875" customWidth="1"/>
  </cols>
  <sheetData>
    <row r="1" spans="1:12">
      <c r="E1" s="9"/>
      <c r="F1" s="9"/>
      <c r="G1" s="9"/>
      <c r="I1" s="9"/>
      <c r="L1" s="9"/>
    </row>
    <row r="2" spans="1:12">
      <c r="A2" s="73">
        <v>46235</v>
      </c>
      <c r="E2" s="9"/>
      <c r="F2" s="9"/>
      <c r="G2" s="9"/>
      <c r="I2" s="9"/>
      <c r="L2" s="9"/>
    </row>
    <row r="3" spans="1:12">
      <c r="B3" s="74" t="s">
        <v>0</v>
      </c>
      <c r="C3" s="74"/>
      <c r="D3" s="74"/>
      <c r="E3" s="75"/>
      <c r="F3" s="75"/>
      <c r="G3" s="75"/>
      <c r="H3" s="74" t="s">
        <v>1</v>
      </c>
      <c r="I3" s="75"/>
      <c r="J3" s="74" t="s">
        <v>2</v>
      </c>
      <c r="K3" s="74"/>
      <c r="L3" s="74"/>
    </row>
    <row r="4" ht="20.25" spans="1:12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58" t="s">
        <v>102</v>
      </c>
      <c r="G4" s="58"/>
      <c r="H4" s="74" t="s">
        <v>8</v>
      </c>
      <c r="I4" s="58" t="s">
        <v>7</v>
      </c>
      <c r="J4" s="74" t="s">
        <v>9</v>
      </c>
      <c r="K4" s="74" t="s">
        <v>10</v>
      </c>
      <c r="L4" s="58" t="s">
        <v>7</v>
      </c>
    </row>
    <row r="5" ht="20.25" spans="1:12">
      <c r="A5" s="1" t="s">
        <v>11</v>
      </c>
      <c r="B5" s="76" t="s">
        <v>107</v>
      </c>
      <c r="C5" s="76"/>
      <c r="D5" s="9">
        <f>E5*F5</f>
        <v>16064</v>
      </c>
      <c r="E5" s="76">
        <v>200</v>
      </c>
      <c r="F5" s="76">
        <v>80.32</v>
      </c>
      <c r="G5" s="76"/>
      <c r="H5" s="81" t="s">
        <v>108</v>
      </c>
      <c r="I5" s="9">
        <v>8080</v>
      </c>
      <c r="L5" s="9"/>
    </row>
    <row r="6" ht="20.25" spans="1:12">
      <c r="A6" s="1"/>
      <c r="B6" s="76" t="s">
        <v>109</v>
      </c>
      <c r="C6" s="99"/>
      <c r="D6" s="9">
        <f>E6*F6</f>
        <v>16064</v>
      </c>
      <c r="E6" s="76">
        <v>200</v>
      </c>
      <c r="F6" s="76">
        <v>80.32</v>
      </c>
      <c r="G6" s="76" t="s">
        <v>110</v>
      </c>
      <c r="H6" s="81"/>
      <c r="I6" s="9"/>
      <c r="L6" s="9"/>
    </row>
    <row r="7" ht="20.25" spans="1:12">
      <c r="A7" s="1"/>
      <c r="B7" s="76"/>
      <c r="C7" s="76"/>
      <c r="D7" s="80">
        <f>SUM(D5:D6)</f>
        <v>32128</v>
      </c>
      <c r="E7" s="76"/>
      <c r="F7" s="76"/>
      <c r="G7" s="76"/>
      <c r="H7" s="81"/>
      <c r="I7" s="9"/>
      <c r="L7" s="9"/>
    </row>
    <row r="8" ht="20.25" spans="1:12">
      <c r="A8" s="1" t="s">
        <v>14</v>
      </c>
      <c r="B8" s="81"/>
      <c r="C8" s="81"/>
      <c r="D8" s="9"/>
      <c r="E8" s="76"/>
      <c r="F8" s="76"/>
      <c r="G8" s="76"/>
      <c r="H8" s="81" t="s">
        <v>111</v>
      </c>
      <c r="I8" s="9">
        <v>5350</v>
      </c>
      <c r="L8" s="9"/>
    </row>
    <row r="9" ht="20.25" spans="1:12">
      <c r="A9" s="1" t="s">
        <v>17</v>
      </c>
      <c r="B9" s="81"/>
      <c r="C9" s="81"/>
      <c r="D9" s="9">
        <f>E9*F9</f>
        <v>16064</v>
      </c>
      <c r="E9" s="9">
        <v>200</v>
      </c>
      <c r="F9" s="9">
        <v>80.32</v>
      </c>
      <c r="G9" s="9" t="s">
        <v>112</v>
      </c>
      <c r="H9" s="81" t="s">
        <v>113</v>
      </c>
      <c r="I9" s="9">
        <v>8118</v>
      </c>
      <c r="L9" s="9"/>
    </row>
    <row r="10" ht="20.25" spans="1:12">
      <c r="A10" s="1" t="s">
        <v>20</v>
      </c>
      <c r="B10" s="81"/>
      <c r="C10" s="81"/>
      <c r="D10" s="9">
        <f>E10*F10</f>
        <v>16064</v>
      </c>
      <c r="E10" s="9">
        <v>200</v>
      </c>
      <c r="F10" s="9">
        <v>80.32</v>
      </c>
      <c r="G10" s="82" t="s">
        <v>114</v>
      </c>
      <c r="H10" s="81" t="s">
        <v>115</v>
      </c>
      <c r="I10" s="9">
        <v>6700</v>
      </c>
      <c r="L10" s="9"/>
    </row>
    <row r="11" ht="20.25" spans="1:12">
      <c r="A11" s="1" t="s">
        <v>23</v>
      </c>
      <c r="B11" s="81"/>
      <c r="C11" s="81"/>
      <c r="D11" s="81"/>
      <c r="E11" s="9"/>
      <c r="F11" s="9"/>
      <c r="G11" s="9"/>
      <c r="H11" s="83"/>
      <c r="I11" s="9"/>
      <c r="J11" s="81"/>
      <c r="K11" s="81"/>
      <c r="L11" s="9"/>
    </row>
    <row r="12" ht="20.25" spans="1:12">
      <c r="A12" s="1"/>
      <c r="B12" s="81"/>
      <c r="C12" s="81"/>
      <c r="D12" s="81"/>
      <c r="E12" s="9"/>
      <c r="F12" s="9"/>
      <c r="G12" s="9"/>
      <c r="H12" s="9"/>
      <c r="I12" s="9"/>
      <c r="J12" s="9"/>
      <c r="K12" s="9"/>
      <c r="L12" s="9"/>
    </row>
    <row r="13" ht="20.25" spans="1:12">
      <c r="A13" s="1"/>
      <c r="B13" s="81"/>
      <c r="C13" s="81"/>
      <c r="D13" s="81"/>
      <c r="E13" s="9"/>
      <c r="F13" s="9"/>
      <c r="G13" s="9"/>
      <c r="H13" s="9"/>
      <c r="I13" s="9"/>
      <c r="J13" s="9"/>
      <c r="K13" s="9"/>
      <c r="L13" s="9"/>
    </row>
    <row r="14" s="72" customFormat="1" ht="20.25" spans="1:12">
      <c r="A14" s="4"/>
      <c r="B14" s="84"/>
      <c r="C14" s="84"/>
      <c r="D14" s="84">
        <f>SUM(D5:D11)</f>
        <v>96384</v>
      </c>
      <c r="E14" s="85">
        <f>SUM(E5:E11)</f>
        <v>800</v>
      </c>
      <c r="F14" s="85"/>
      <c r="G14" s="85"/>
      <c r="H14" s="85"/>
      <c r="I14" s="85">
        <f>SUM(I5:I11)</f>
        <v>28248</v>
      </c>
      <c r="J14" s="85"/>
      <c r="K14" s="85"/>
      <c r="L14" s="85"/>
    </row>
    <row r="15" ht="20.25" spans="1:12">
      <c r="A15" s="1"/>
      <c r="B15" s="74" t="s">
        <v>0</v>
      </c>
      <c r="C15" s="74"/>
      <c r="D15" s="74"/>
      <c r="E15" s="75"/>
      <c r="F15" s="75"/>
      <c r="G15" s="75"/>
      <c r="H15" s="74" t="s">
        <v>1</v>
      </c>
      <c r="I15" s="75"/>
      <c r="J15" s="74" t="s">
        <v>2</v>
      </c>
      <c r="K15" s="74"/>
      <c r="L15" s="74"/>
    </row>
    <row r="16" ht="20.25" spans="1:12">
      <c r="A16" s="2" t="s">
        <v>26</v>
      </c>
      <c r="B16" s="74" t="s">
        <v>5</v>
      </c>
      <c r="C16" s="74" t="s">
        <v>6</v>
      </c>
      <c r="D16" s="58" t="s">
        <v>7</v>
      </c>
      <c r="E16" s="58" t="s">
        <v>66</v>
      </c>
      <c r="F16" s="58" t="s">
        <v>102</v>
      </c>
      <c r="G16" s="58"/>
      <c r="H16" s="74" t="s">
        <v>8</v>
      </c>
      <c r="I16" s="58" t="s">
        <v>7</v>
      </c>
      <c r="J16" s="74" t="s">
        <v>9</v>
      </c>
      <c r="K16" s="74" t="s">
        <v>10</v>
      </c>
      <c r="L16" s="58" t="s">
        <v>7</v>
      </c>
    </row>
    <row r="17" ht="20.25" spans="1:12">
      <c r="A17" s="1" t="s">
        <v>11</v>
      </c>
      <c r="B17" s="76"/>
      <c r="C17" s="76"/>
      <c r="D17" s="9"/>
      <c r="E17" s="76"/>
      <c r="F17" s="76"/>
      <c r="G17" s="76"/>
      <c r="H17" s="81" t="s">
        <v>108</v>
      </c>
      <c r="I17" s="9">
        <v>3350</v>
      </c>
      <c r="L17" s="9"/>
    </row>
    <row r="18" ht="20.25" spans="1:12">
      <c r="A18" s="1" t="s">
        <v>14</v>
      </c>
      <c r="B18" s="76" t="s">
        <v>116</v>
      </c>
      <c r="C18" s="81"/>
      <c r="D18" s="9">
        <f>E18*F18</f>
        <v>16064</v>
      </c>
      <c r="E18" s="9">
        <v>200</v>
      </c>
      <c r="F18" s="9">
        <v>80.32</v>
      </c>
      <c r="G18" s="9" t="s">
        <v>117</v>
      </c>
      <c r="H18" s="81" t="s">
        <v>111</v>
      </c>
      <c r="I18" s="9">
        <v>5690</v>
      </c>
      <c r="L18" s="9"/>
    </row>
    <row r="19" ht="20.25" spans="1:12">
      <c r="A19" s="1" t="s">
        <v>17</v>
      </c>
      <c r="B19" s="81"/>
      <c r="C19" s="81"/>
      <c r="D19" s="9">
        <f>E19*F19</f>
        <v>12048</v>
      </c>
      <c r="E19" s="87">
        <v>150</v>
      </c>
      <c r="F19" s="88">
        <v>80.32</v>
      </c>
      <c r="G19" s="87" t="s">
        <v>118</v>
      </c>
      <c r="H19" s="81" t="s">
        <v>113</v>
      </c>
      <c r="I19" s="9">
        <v>9678</v>
      </c>
      <c r="L19" s="9"/>
    </row>
    <row r="20" ht="20.25" spans="1:12">
      <c r="A20" s="1" t="s">
        <v>20</v>
      </c>
      <c r="B20" s="81"/>
      <c r="C20" s="81"/>
      <c r="D20" s="9"/>
      <c r="E20" s="87"/>
      <c r="F20" s="87"/>
      <c r="G20" s="87" t="s">
        <v>119</v>
      </c>
      <c r="H20" s="81" t="s">
        <v>115</v>
      </c>
      <c r="I20" s="9">
        <v>5995</v>
      </c>
      <c r="L20" s="9"/>
    </row>
    <row r="21" ht="20.25" spans="1:12">
      <c r="A21" s="1" t="s">
        <v>23</v>
      </c>
      <c r="B21" s="81"/>
      <c r="C21" s="81"/>
      <c r="D21" s="81"/>
      <c r="E21" s="87"/>
      <c r="F21" s="87"/>
      <c r="G21" s="87"/>
      <c r="I21" s="9"/>
      <c r="L21" s="9"/>
    </row>
    <row r="22" ht="20.25" spans="1:12">
      <c r="A22" s="1"/>
      <c r="E22" s="87"/>
      <c r="F22" s="87"/>
      <c r="G22" s="87"/>
      <c r="I22" s="9"/>
      <c r="L22" s="9"/>
    </row>
    <row r="23" s="72" customFormat="1" ht="20.25" spans="1:12">
      <c r="A23" s="5"/>
      <c r="D23" s="89">
        <f>SUM(D17:D21)</f>
        <v>28112</v>
      </c>
      <c r="E23" s="90">
        <f>SUM(E17:E21)</f>
        <v>350</v>
      </c>
      <c r="F23" s="90"/>
      <c r="G23" s="90"/>
      <c r="I23" s="85">
        <f>SUM(I17:I21)</f>
        <v>24713</v>
      </c>
      <c r="L23" s="85"/>
    </row>
    <row r="24" ht="20.25" spans="1:12">
      <c r="A24" s="1"/>
      <c r="B24" s="74" t="s">
        <v>0</v>
      </c>
      <c r="C24" s="74"/>
      <c r="D24" s="74"/>
      <c r="E24" s="75"/>
      <c r="F24" s="75"/>
      <c r="G24" s="75"/>
      <c r="H24" s="74" t="s">
        <v>1</v>
      </c>
      <c r="I24" s="75"/>
      <c r="J24" s="74" t="s">
        <v>2</v>
      </c>
      <c r="K24" s="74"/>
      <c r="L24" s="74"/>
    </row>
    <row r="25" ht="20.25" spans="1:12">
      <c r="A25" s="40" t="s">
        <v>28</v>
      </c>
      <c r="B25" s="74" t="s">
        <v>5</v>
      </c>
      <c r="C25" s="74" t="s">
        <v>6</v>
      </c>
      <c r="D25" s="58" t="s">
        <v>7</v>
      </c>
      <c r="E25" s="58" t="s">
        <v>66</v>
      </c>
      <c r="F25" s="58" t="s">
        <v>102</v>
      </c>
      <c r="G25" s="58"/>
      <c r="H25" s="74" t="s">
        <v>8</v>
      </c>
      <c r="I25" s="58" t="s">
        <v>7</v>
      </c>
      <c r="J25" s="74" t="s">
        <v>9</v>
      </c>
      <c r="K25" s="74" t="s">
        <v>10</v>
      </c>
      <c r="L25" s="58" t="s">
        <v>7</v>
      </c>
    </row>
    <row r="26" ht="20.25" spans="1:12">
      <c r="A26" s="1" t="s">
        <v>11</v>
      </c>
      <c r="B26" s="76" t="s">
        <v>120</v>
      </c>
      <c r="C26" s="86">
        <v>37834</v>
      </c>
      <c r="D26" s="9">
        <f>E26*F26</f>
        <v>12770.88</v>
      </c>
      <c r="E26" s="76">
        <v>159</v>
      </c>
      <c r="F26" s="76">
        <v>80.32</v>
      </c>
      <c r="G26" s="76"/>
      <c r="H26" s="81" t="s">
        <v>108</v>
      </c>
      <c r="I26" s="9">
        <v>8865</v>
      </c>
      <c r="L26" s="9"/>
    </row>
    <row r="27" ht="20.25" spans="1:12">
      <c r="A27" s="1"/>
      <c r="B27" s="76" t="s">
        <v>121</v>
      </c>
      <c r="C27" s="86">
        <v>38565</v>
      </c>
      <c r="D27" s="9">
        <f>E27*F27</f>
        <v>12048</v>
      </c>
      <c r="E27" s="76">
        <v>150</v>
      </c>
      <c r="F27" s="76">
        <v>80.32</v>
      </c>
      <c r="G27" s="91" t="s">
        <v>117</v>
      </c>
      <c r="H27" s="100"/>
      <c r="I27" s="9"/>
      <c r="L27" s="9"/>
    </row>
    <row r="28" ht="20.25" spans="1:12">
      <c r="A28" s="78" t="s">
        <v>14</v>
      </c>
      <c r="B28" s="76" t="s">
        <v>122</v>
      </c>
      <c r="C28" s="86">
        <v>39295</v>
      </c>
      <c r="D28" s="9">
        <f>E28*F28</f>
        <v>16064</v>
      </c>
      <c r="E28" s="76">
        <v>200</v>
      </c>
      <c r="F28" s="76">
        <v>80.32</v>
      </c>
      <c r="G28" s="76" t="s">
        <v>118</v>
      </c>
      <c r="H28" s="101" t="s">
        <v>111</v>
      </c>
      <c r="I28" s="9">
        <v>7968</v>
      </c>
      <c r="L28" s="9"/>
    </row>
    <row r="29" ht="20.25" spans="1:12">
      <c r="A29" s="78" t="s">
        <v>17</v>
      </c>
      <c r="B29" s="81"/>
      <c r="C29" s="92">
        <v>41487</v>
      </c>
      <c r="D29" s="93">
        <f>E29*F29</f>
        <v>12048</v>
      </c>
      <c r="E29" s="94">
        <v>150</v>
      </c>
      <c r="F29" s="95">
        <v>80.32</v>
      </c>
      <c r="G29" s="9"/>
      <c r="H29" s="101" t="s">
        <v>113</v>
      </c>
      <c r="I29" s="9">
        <v>8660</v>
      </c>
      <c r="L29" s="9"/>
    </row>
    <row r="30" ht="20.25" spans="1:12">
      <c r="A30" s="78" t="s">
        <v>20</v>
      </c>
      <c r="B30" s="81"/>
      <c r="C30" s="81"/>
      <c r="D30" s="9"/>
      <c r="E30" s="9"/>
      <c r="F30" s="9"/>
      <c r="G30" s="9"/>
      <c r="H30" s="101" t="s">
        <v>115</v>
      </c>
      <c r="I30" s="9">
        <v>3080</v>
      </c>
      <c r="L30" s="9"/>
    </row>
    <row r="31" ht="20.25" spans="1:12">
      <c r="A31" s="78" t="s">
        <v>23</v>
      </c>
      <c r="B31" s="81"/>
      <c r="C31" s="81"/>
      <c r="D31" s="9"/>
      <c r="E31" s="9"/>
      <c r="F31" s="9"/>
      <c r="G31" s="9"/>
      <c r="H31" s="81"/>
      <c r="I31" s="9"/>
      <c r="L31" s="9"/>
    </row>
    <row r="32" ht="20.25" spans="1:12">
      <c r="A32" s="1"/>
      <c r="B32" s="81"/>
      <c r="C32" s="81"/>
      <c r="D32" s="81"/>
      <c r="E32" s="9"/>
      <c r="F32" s="9"/>
      <c r="G32" s="9"/>
      <c r="H32" s="81"/>
      <c r="I32" s="9"/>
      <c r="L32" s="9"/>
    </row>
    <row r="33" ht="20.25" spans="1:12">
      <c r="A33" s="1"/>
      <c r="E33" s="9"/>
      <c r="F33" s="9"/>
      <c r="G33" s="9"/>
      <c r="I33" s="9"/>
      <c r="L33" s="9"/>
    </row>
    <row r="34" s="72" customFormat="1" ht="20.25" spans="1:12">
      <c r="A34" s="8"/>
      <c r="D34" s="89">
        <f>SUM(D26:D32)</f>
        <v>52930.88</v>
      </c>
      <c r="E34" s="90">
        <f>SUM(E26:E32)</f>
        <v>659</v>
      </c>
      <c r="F34" s="90"/>
      <c r="G34" s="90"/>
      <c r="I34" s="85">
        <f>SUM(I26:I32)</f>
        <v>28573</v>
      </c>
      <c r="L34" s="85"/>
    </row>
    <row r="35" ht="20.25" spans="1:12">
      <c r="A35" s="1"/>
      <c r="B35" s="74" t="s">
        <v>0</v>
      </c>
      <c r="C35" s="74"/>
      <c r="D35" s="74"/>
      <c r="E35" s="75"/>
      <c r="F35" s="75"/>
      <c r="G35" s="75"/>
      <c r="H35" s="74" t="s">
        <v>1</v>
      </c>
      <c r="I35" s="75"/>
      <c r="J35" s="74" t="s">
        <v>2</v>
      </c>
      <c r="K35" s="74"/>
      <c r="L35" s="74"/>
    </row>
    <row r="36" ht="20.25" spans="1:12">
      <c r="A36" s="40" t="s">
        <v>30</v>
      </c>
      <c r="B36" s="74" t="s">
        <v>5</v>
      </c>
      <c r="C36" s="74" t="s">
        <v>6</v>
      </c>
      <c r="D36" s="58" t="s">
        <v>7</v>
      </c>
      <c r="E36" s="58" t="s">
        <v>66</v>
      </c>
      <c r="F36" s="58" t="s">
        <v>102</v>
      </c>
      <c r="G36" s="58"/>
      <c r="H36" s="74" t="s">
        <v>8</v>
      </c>
      <c r="I36" s="58" t="s">
        <v>7</v>
      </c>
      <c r="J36" s="74" t="s">
        <v>9</v>
      </c>
      <c r="K36" s="74" t="s">
        <v>10</v>
      </c>
      <c r="L36" s="58" t="s">
        <v>7</v>
      </c>
    </row>
    <row r="37" ht="20.25" spans="1:12">
      <c r="A37" s="1" t="s">
        <v>11</v>
      </c>
      <c r="B37" s="76" t="s">
        <v>123</v>
      </c>
      <c r="C37" s="86">
        <v>37469</v>
      </c>
      <c r="D37" s="96">
        <f>E37*F37</f>
        <v>16064</v>
      </c>
      <c r="E37" s="9">
        <v>200</v>
      </c>
      <c r="F37" s="76">
        <v>80.32</v>
      </c>
      <c r="G37" s="76"/>
      <c r="H37" s="81" t="s">
        <v>108</v>
      </c>
      <c r="I37" s="9">
        <v>8870</v>
      </c>
      <c r="L37" s="9"/>
    </row>
    <row r="38" ht="20.25" spans="1:12">
      <c r="A38" s="1" t="s">
        <v>14</v>
      </c>
      <c r="B38" s="76" t="s">
        <v>124</v>
      </c>
      <c r="C38" s="86">
        <v>39661</v>
      </c>
      <c r="D38" s="9">
        <f>E38*F38</f>
        <v>16064</v>
      </c>
      <c r="E38" s="97">
        <v>200</v>
      </c>
      <c r="F38" s="76">
        <v>80.32</v>
      </c>
      <c r="G38" s="76" t="s">
        <v>112</v>
      </c>
      <c r="H38" s="81" t="s">
        <v>111</v>
      </c>
      <c r="I38" s="9">
        <v>7015</v>
      </c>
      <c r="L38" s="9"/>
    </row>
    <row r="39" ht="20.25" spans="1:12">
      <c r="A39" s="1" t="s">
        <v>17</v>
      </c>
      <c r="B39" s="81"/>
      <c r="C39" s="81"/>
      <c r="D39" s="9">
        <f>E39*F39</f>
        <v>8032</v>
      </c>
      <c r="E39" s="87">
        <v>100</v>
      </c>
      <c r="F39" s="98">
        <v>80.32</v>
      </c>
      <c r="G39" s="87" t="s">
        <v>118</v>
      </c>
      <c r="H39" s="81" t="s">
        <v>113</v>
      </c>
      <c r="I39" s="9">
        <v>9978</v>
      </c>
      <c r="L39" s="9"/>
    </row>
    <row r="40" ht="20.25" spans="1:12">
      <c r="A40" s="1"/>
      <c r="B40" s="81"/>
      <c r="C40" s="81"/>
      <c r="D40" s="9">
        <f>E40*F40</f>
        <v>16064</v>
      </c>
      <c r="E40" s="87">
        <v>200</v>
      </c>
      <c r="F40" s="98">
        <v>80.32</v>
      </c>
      <c r="G40" s="87" t="s">
        <v>125</v>
      </c>
      <c r="H40" s="81"/>
      <c r="I40" s="9"/>
      <c r="L40" s="9"/>
    </row>
    <row r="41" ht="20.25" spans="1:12">
      <c r="A41" s="1"/>
      <c r="B41" s="81"/>
      <c r="C41" s="81"/>
      <c r="D41" s="80">
        <f>SUM(D39:D40)</f>
        <v>24096</v>
      </c>
      <c r="E41" s="87"/>
      <c r="F41" s="98"/>
      <c r="G41" s="87"/>
      <c r="H41" s="81"/>
      <c r="I41" s="9"/>
      <c r="L41" s="9"/>
    </row>
    <row r="42" ht="20.25" spans="1:12">
      <c r="A42" s="1" t="s">
        <v>20</v>
      </c>
      <c r="B42" s="81"/>
      <c r="C42" s="81" t="s">
        <v>126</v>
      </c>
      <c r="D42" s="9">
        <f>E42*F42</f>
        <v>12048</v>
      </c>
      <c r="E42" s="87">
        <v>150</v>
      </c>
      <c r="F42" s="98">
        <v>80.32</v>
      </c>
      <c r="G42" s="87" t="s">
        <v>119</v>
      </c>
      <c r="H42" s="81" t="s">
        <v>115</v>
      </c>
      <c r="I42" s="9">
        <v>8415</v>
      </c>
      <c r="L42" s="9"/>
    </row>
    <row r="43" ht="20.25" spans="1:12">
      <c r="A43" s="1" t="s">
        <v>23</v>
      </c>
      <c r="B43" s="81"/>
      <c r="C43" s="81"/>
      <c r="D43" s="81"/>
      <c r="E43" s="9"/>
      <c r="F43" s="9"/>
      <c r="G43" s="9"/>
      <c r="I43" s="9"/>
      <c r="L43" s="9"/>
    </row>
    <row r="44" ht="20.25" spans="1:12">
      <c r="A44" s="1"/>
      <c r="E44" s="9"/>
      <c r="F44" s="9"/>
      <c r="G44" s="9"/>
      <c r="I44" s="9"/>
      <c r="L44" s="9"/>
    </row>
    <row r="45" s="72" customFormat="1" ht="20.25" spans="1:12">
      <c r="A45" s="8"/>
      <c r="D45" s="72">
        <f>SUM(D37:D43)</f>
        <v>92368</v>
      </c>
      <c r="E45" s="85">
        <f>SUM(E37:E43)</f>
        <v>850</v>
      </c>
      <c r="F45" s="85"/>
      <c r="G45" s="85"/>
      <c r="I45" s="85">
        <f>SUM(I37:I43)</f>
        <v>34278</v>
      </c>
      <c r="L45" s="85"/>
    </row>
  </sheetData>
  <mergeCells count="12">
    <mergeCell ref="B3:E3"/>
    <mergeCell ref="H3:I3"/>
    <mergeCell ref="J3:L3"/>
    <mergeCell ref="B15:E15"/>
    <mergeCell ref="H15:I15"/>
    <mergeCell ref="J15:L15"/>
    <mergeCell ref="B24:E24"/>
    <mergeCell ref="H24:I24"/>
    <mergeCell ref="J24:L24"/>
    <mergeCell ref="B35:E35"/>
    <mergeCell ref="H35:I35"/>
    <mergeCell ref="J35:L35"/>
  </mergeCells>
  <pageMargins left="1" right="1" top="1" bottom="1" header="0.5" footer="0.5"/>
  <pageSetup paperSize="9" scale="65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5"/>
  <sheetViews>
    <sheetView view="pageBreakPreview" zoomScaleNormal="100" topLeftCell="A20" workbookViewId="0">
      <selection activeCell="D45" sqref="D45"/>
    </sheetView>
  </sheetViews>
  <sheetFormatPr defaultColWidth="9" defaultRowHeight="14.25"/>
  <cols>
    <col min="1" max="1" width="12.75" customWidth="1"/>
    <col min="2" max="4" width="16.5" customWidth="1"/>
    <col min="5" max="7" width="14.5" customWidth="1"/>
    <col min="8" max="8" width="23.625" customWidth="1"/>
    <col min="9" max="9" width="12.5" customWidth="1"/>
    <col min="11" max="11" width="12.875" customWidth="1"/>
  </cols>
  <sheetData>
    <row r="1" spans="1:12">
      <c r="E1" s="9"/>
      <c r="F1" s="9"/>
      <c r="G1" s="9"/>
      <c r="I1" s="9"/>
      <c r="L1" s="9"/>
    </row>
    <row r="2" spans="1:12">
      <c r="A2" s="73" t="s">
        <v>127</v>
      </c>
      <c r="E2" s="9"/>
      <c r="F2" s="9"/>
      <c r="G2" s="9"/>
      <c r="I2" s="9"/>
      <c r="L2" s="9"/>
    </row>
    <row r="3" spans="1:12">
      <c r="B3" s="74" t="s">
        <v>0</v>
      </c>
      <c r="C3" s="74"/>
      <c r="D3" s="74"/>
      <c r="E3" s="75"/>
      <c r="F3" s="75"/>
      <c r="G3" s="75"/>
      <c r="H3" s="74" t="s">
        <v>1</v>
      </c>
      <c r="I3" s="75"/>
      <c r="J3" s="74" t="s">
        <v>2</v>
      </c>
      <c r="K3" s="74"/>
      <c r="L3" s="74"/>
    </row>
    <row r="4" ht="20.25" spans="1:12">
      <c r="A4" s="2" t="s">
        <v>4</v>
      </c>
      <c r="B4" s="74" t="s">
        <v>5</v>
      </c>
      <c r="C4" s="74" t="s">
        <v>6</v>
      </c>
      <c r="D4" s="58" t="s">
        <v>7</v>
      </c>
      <c r="E4" s="58" t="s">
        <v>66</v>
      </c>
      <c r="F4" s="58" t="s">
        <v>102</v>
      </c>
      <c r="G4" s="58"/>
      <c r="H4" s="74" t="s">
        <v>8</v>
      </c>
      <c r="I4" s="58" t="s">
        <v>7</v>
      </c>
      <c r="J4" s="74" t="s">
        <v>9</v>
      </c>
      <c r="K4" s="74" t="s">
        <v>10</v>
      </c>
      <c r="L4" s="58" t="s">
        <v>7</v>
      </c>
    </row>
    <row r="5" ht="20.25" spans="1:12">
      <c r="A5" s="1" t="s">
        <v>11</v>
      </c>
      <c r="B5" s="76"/>
      <c r="C5" s="76" t="s">
        <v>128</v>
      </c>
      <c r="D5" s="9">
        <f>E5*F5</f>
        <v>19110</v>
      </c>
      <c r="E5" s="76">
        <v>200</v>
      </c>
      <c r="F5" s="77">
        <v>95.55</v>
      </c>
      <c r="G5" s="76" t="s">
        <v>129</v>
      </c>
      <c r="H5" s="1" t="s">
        <v>130</v>
      </c>
      <c r="I5" s="9">
        <v>11045</v>
      </c>
      <c r="L5" s="9"/>
    </row>
    <row r="6" ht="20.25" spans="1:12">
      <c r="A6" s="78" t="s">
        <v>14</v>
      </c>
      <c r="B6" s="76"/>
      <c r="C6" s="79">
        <v>46182</v>
      </c>
      <c r="D6" s="9">
        <f>E6*F6</f>
        <v>27516</v>
      </c>
      <c r="E6" s="76">
        <v>300</v>
      </c>
      <c r="F6" s="76">
        <v>91.72</v>
      </c>
      <c r="G6" s="76" t="s">
        <v>131</v>
      </c>
      <c r="H6" s="1" t="s">
        <v>132</v>
      </c>
      <c r="I6" s="9">
        <v>8360</v>
      </c>
      <c r="L6" s="9"/>
    </row>
    <row r="7" ht="20.25" spans="1:12">
      <c r="A7" s="78" t="s">
        <v>17</v>
      </c>
      <c r="B7" s="76"/>
      <c r="C7" s="76"/>
      <c r="D7" s="80"/>
      <c r="E7" s="76"/>
      <c r="F7" s="76"/>
      <c r="G7" s="76"/>
      <c r="H7" s="1" t="s">
        <v>133</v>
      </c>
      <c r="I7" s="9"/>
      <c r="L7" s="9"/>
    </row>
    <row r="8" ht="20.25" spans="1:12">
      <c r="A8" s="78" t="s">
        <v>20</v>
      </c>
      <c r="B8" s="81"/>
      <c r="C8" s="81"/>
      <c r="D8" s="9"/>
      <c r="E8" s="76"/>
      <c r="F8" s="76"/>
      <c r="G8" s="76"/>
      <c r="H8" s="1" t="s">
        <v>134</v>
      </c>
      <c r="I8" s="9"/>
      <c r="L8" s="9"/>
    </row>
    <row r="9" ht="20.25" spans="1:12">
      <c r="A9" s="78" t="s">
        <v>23</v>
      </c>
      <c r="B9" s="81"/>
      <c r="C9" s="81"/>
      <c r="D9" s="9"/>
      <c r="E9" s="9"/>
      <c r="F9" s="9"/>
      <c r="G9" s="9"/>
      <c r="H9" s="1" t="s">
        <v>135</v>
      </c>
      <c r="I9" s="9"/>
      <c r="L9" s="9"/>
    </row>
    <row r="10" ht="20.25" spans="1:12">
      <c r="A10" s="1"/>
      <c r="B10" s="81"/>
      <c r="C10" s="81"/>
      <c r="D10" s="9"/>
      <c r="E10" s="9"/>
      <c r="F10" s="9"/>
      <c r="G10" s="82"/>
      <c r="H10" s="81"/>
      <c r="I10" s="9"/>
      <c r="L10" s="9"/>
    </row>
    <row r="11" ht="20.25" spans="1:12">
      <c r="A11" s="1"/>
      <c r="B11" s="81"/>
      <c r="C11" s="81"/>
      <c r="D11" s="81"/>
      <c r="E11" s="9"/>
      <c r="F11" s="9"/>
      <c r="G11" s="9"/>
      <c r="H11" s="83"/>
      <c r="I11" s="9"/>
      <c r="J11" s="81"/>
      <c r="K11" s="81"/>
      <c r="L11" s="9"/>
    </row>
    <row r="12" ht="20.25" spans="1:12">
      <c r="A12" s="1"/>
      <c r="B12" s="81"/>
      <c r="C12" s="81"/>
      <c r="D12" s="81"/>
      <c r="E12" s="9"/>
      <c r="F12" s="9"/>
      <c r="G12" s="9"/>
      <c r="H12" s="9"/>
      <c r="I12" s="9"/>
      <c r="J12" s="9"/>
      <c r="K12" s="9"/>
      <c r="L12" s="9"/>
    </row>
    <row r="13" ht="20.25" spans="1:12">
      <c r="A13" s="1"/>
      <c r="B13" s="81"/>
      <c r="C13" s="81"/>
      <c r="D13" s="81"/>
      <c r="E13" s="9"/>
      <c r="F13" s="9"/>
      <c r="G13" s="9"/>
      <c r="H13" s="9"/>
      <c r="I13" s="9"/>
      <c r="J13" s="9"/>
      <c r="K13" s="9"/>
      <c r="L13" s="9"/>
    </row>
    <row r="14" s="72" customFormat="1" ht="20.25" spans="1:12">
      <c r="A14" s="4"/>
      <c r="B14" s="84"/>
      <c r="C14" s="84"/>
      <c r="D14" s="84">
        <f t="shared" ref="D14:I14" si="0">SUM(D5:D11)</f>
        <v>46626</v>
      </c>
      <c r="E14" s="85">
        <f t="shared" si="0"/>
        <v>500</v>
      </c>
      <c r="F14" s="85"/>
      <c r="G14" s="85"/>
      <c r="H14" s="85"/>
      <c r="I14" s="85">
        <f t="shared" si="0"/>
        <v>19405</v>
      </c>
      <c r="J14" s="85"/>
      <c r="K14" s="85"/>
      <c r="L14" s="85"/>
    </row>
    <row r="15" ht="20.25" spans="1:12">
      <c r="A15" s="1"/>
      <c r="B15" s="74" t="s">
        <v>0</v>
      </c>
      <c r="C15" s="74"/>
      <c r="D15" s="74"/>
      <c r="E15" s="75"/>
      <c r="F15" s="75"/>
      <c r="G15" s="75"/>
      <c r="H15" s="74" t="s">
        <v>1</v>
      </c>
      <c r="I15" s="75"/>
      <c r="J15" s="74" t="s">
        <v>2</v>
      </c>
      <c r="K15" s="74"/>
      <c r="L15" s="74"/>
    </row>
    <row r="16" ht="20.25" spans="1:12">
      <c r="A16" s="2" t="s">
        <v>26</v>
      </c>
      <c r="B16" s="74" t="s">
        <v>5</v>
      </c>
      <c r="C16" s="74" t="s">
        <v>6</v>
      </c>
      <c r="D16" s="58" t="s">
        <v>7</v>
      </c>
      <c r="E16" s="58" t="s">
        <v>66</v>
      </c>
      <c r="F16" s="58" t="s">
        <v>102</v>
      </c>
      <c r="G16" s="58"/>
      <c r="H16" s="74" t="s">
        <v>8</v>
      </c>
      <c r="I16" s="58" t="s">
        <v>7</v>
      </c>
      <c r="J16" s="74" t="s">
        <v>9</v>
      </c>
      <c r="K16" s="74" t="s">
        <v>10</v>
      </c>
      <c r="L16" s="58" t="s">
        <v>7</v>
      </c>
    </row>
    <row r="17" ht="20.25" spans="1:12">
      <c r="A17" s="1" t="s">
        <v>11</v>
      </c>
      <c r="B17" s="76"/>
      <c r="C17" s="86">
        <v>47331</v>
      </c>
      <c r="D17" s="9">
        <f>E17*F17</f>
        <v>9555</v>
      </c>
      <c r="E17" s="76">
        <v>100</v>
      </c>
      <c r="F17" s="76">
        <v>95.55</v>
      </c>
      <c r="G17" s="76" t="s">
        <v>110</v>
      </c>
      <c r="H17" s="1" t="s">
        <v>130</v>
      </c>
      <c r="I17" s="9">
        <v>5940</v>
      </c>
      <c r="L17" s="9"/>
    </row>
    <row r="18" ht="20.25" spans="1:12">
      <c r="A18" s="1" t="s">
        <v>14</v>
      </c>
      <c r="B18" s="76"/>
      <c r="C18" s="81"/>
      <c r="D18" s="9"/>
      <c r="E18" s="9"/>
      <c r="F18" s="9"/>
      <c r="G18" s="9"/>
      <c r="H18" s="1" t="s">
        <v>132</v>
      </c>
      <c r="I18" s="9">
        <v>3530</v>
      </c>
      <c r="L18" s="9"/>
    </row>
    <row r="19" ht="20.25" spans="1:12">
      <c r="A19" s="1" t="s">
        <v>17</v>
      </c>
      <c r="B19" s="81"/>
      <c r="C19" s="81"/>
      <c r="D19" s="9"/>
      <c r="E19" s="87"/>
      <c r="F19" s="88"/>
      <c r="G19" s="87"/>
      <c r="H19" s="1" t="s">
        <v>133</v>
      </c>
      <c r="I19" s="9"/>
      <c r="L19" s="9"/>
    </row>
    <row r="20" ht="20.25" spans="1:12">
      <c r="A20" s="1" t="s">
        <v>20</v>
      </c>
      <c r="B20" s="81"/>
      <c r="C20" s="81"/>
      <c r="D20" s="9"/>
      <c r="E20" s="87"/>
      <c r="F20" s="87"/>
      <c r="G20" s="87"/>
      <c r="H20" s="1" t="s">
        <v>134</v>
      </c>
      <c r="I20" s="9"/>
      <c r="L20" s="9"/>
    </row>
    <row r="21" ht="20.25" spans="1:12">
      <c r="A21" s="1" t="s">
        <v>23</v>
      </c>
      <c r="B21" s="81"/>
      <c r="C21" s="81"/>
      <c r="D21" s="81"/>
      <c r="E21" s="87"/>
      <c r="F21" s="87"/>
      <c r="G21" s="87"/>
      <c r="H21" s="1" t="s">
        <v>135</v>
      </c>
      <c r="I21" s="9"/>
      <c r="L21" s="9"/>
    </row>
    <row r="22" ht="20.25" spans="1:12">
      <c r="A22" s="1"/>
      <c r="E22" s="87"/>
      <c r="F22" s="87"/>
      <c r="G22" s="87"/>
      <c r="I22" s="9"/>
      <c r="L22" s="9"/>
    </row>
    <row r="23" s="72" customFormat="1" ht="20.25" spans="1:12">
      <c r="A23" s="5"/>
      <c r="D23" s="89">
        <f t="shared" ref="D23:I23" si="1">SUM(D17:D21)</f>
        <v>9555</v>
      </c>
      <c r="E23" s="90">
        <f t="shared" si="1"/>
        <v>100</v>
      </c>
      <c r="F23" s="90"/>
      <c r="G23" s="90"/>
      <c r="I23" s="85">
        <f t="shared" si="1"/>
        <v>9470</v>
      </c>
      <c r="L23" s="85"/>
    </row>
    <row r="24" ht="20.25" spans="1:12">
      <c r="A24" s="1"/>
      <c r="B24" s="74" t="s">
        <v>0</v>
      </c>
      <c r="C24" s="74"/>
      <c r="D24" s="74"/>
      <c r="E24" s="75"/>
      <c r="F24" s="75"/>
      <c r="G24" s="75"/>
      <c r="H24" s="74" t="s">
        <v>1</v>
      </c>
      <c r="I24" s="75"/>
      <c r="J24" s="74" t="s">
        <v>2</v>
      </c>
      <c r="K24" s="74"/>
      <c r="L24" s="74"/>
    </row>
    <row r="25" ht="20.25" spans="1:12">
      <c r="A25" s="40" t="s">
        <v>28</v>
      </c>
      <c r="B25" s="74" t="s">
        <v>5</v>
      </c>
      <c r="C25" s="74" t="s">
        <v>6</v>
      </c>
      <c r="D25" s="58" t="s">
        <v>7</v>
      </c>
      <c r="E25" s="58" t="s">
        <v>66</v>
      </c>
      <c r="F25" s="58" t="s">
        <v>102</v>
      </c>
      <c r="G25" s="58"/>
      <c r="H25" s="74" t="s">
        <v>8</v>
      </c>
      <c r="I25" s="58" t="s">
        <v>7</v>
      </c>
      <c r="J25" s="74" t="s">
        <v>9</v>
      </c>
      <c r="K25" s="74" t="s">
        <v>10</v>
      </c>
      <c r="L25" s="58" t="s">
        <v>7</v>
      </c>
    </row>
    <row r="26" ht="20.25" spans="1:12">
      <c r="A26" s="1" t="s">
        <v>11</v>
      </c>
      <c r="B26" s="76"/>
      <c r="C26" s="86" t="s">
        <v>136</v>
      </c>
      <c r="D26" s="9">
        <f>E26*F26</f>
        <v>9555</v>
      </c>
      <c r="E26" s="76">
        <v>100</v>
      </c>
      <c r="F26" s="76">
        <v>95.55</v>
      </c>
      <c r="G26" s="76" t="s">
        <v>112</v>
      </c>
      <c r="H26" s="1" t="s">
        <v>130</v>
      </c>
      <c r="I26" s="9">
        <v>9025</v>
      </c>
      <c r="L26" s="9"/>
    </row>
    <row r="27" ht="20.25" spans="1:12">
      <c r="A27" s="78" t="s">
        <v>14</v>
      </c>
      <c r="B27" s="76"/>
      <c r="C27" s="86" t="s">
        <v>137</v>
      </c>
      <c r="D27" s="9">
        <f>E27*F27</f>
        <v>27516</v>
      </c>
      <c r="E27" s="76">
        <v>300</v>
      </c>
      <c r="F27" s="76">
        <v>91.72</v>
      </c>
      <c r="G27" s="91" t="s">
        <v>138</v>
      </c>
      <c r="H27" s="1" t="s">
        <v>132</v>
      </c>
      <c r="I27" s="9">
        <v>8990</v>
      </c>
      <c r="L27" s="9"/>
    </row>
    <row r="28" ht="20.25" spans="1:12">
      <c r="A28" s="78" t="s">
        <v>17</v>
      </c>
      <c r="B28" s="76"/>
      <c r="C28" s="86"/>
      <c r="D28" s="9"/>
      <c r="E28" s="76"/>
      <c r="F28" s="76"/>
      <c r="G28" s="76"/>
      <c r="H28" s="1" t="s">
        <v>133</v>
      </c>
      <c r="I28" s="9"/>
      <c r="L28" s="9"/>
    </row>
    <row r="29" ht="20.25" spans="1:12">
      <c r="A29" s="78" t="s">
        <v>20</v>
      </c>
      <c r="B29" s="81"/>
      <c r="C29" s="92"/>
      <c r="D29" s="93"/>
      <c r="E29" s="94"/>
      <c r="F29" s="95"/>
      <c r="G29" s="9"/>
      <c r="H29" s="1" t="s">
        <v>134</v>
      </c>
      <c r="I29" s="9"/>
      <c r="L29" s="9"/>
    </row>
    <row r="30" ht="20.25" spans="1:12">
      <c r="A30" s="78" t="s">
        <v>23</v>
      </c>
      <c r="B30" s="81"/>
      <c r="C30" s="81"/>
      <c r="D30" s="9"/>
      <c r="E30" s="9"/>
      <c r="F30" s="9"/>
      <c r="G30" s="9"/>
      <c r="H30" s="1" t="s">
        <v>135</v>
      </c>
      <c r="I30" s="9"/>
      <c r="L30" s="9"/>
    </row>
    <row r="31" ht="20.25" spans="1:12">
      <c r="A31" s="78"/>
      <c r="B31" s="81"/>
      <c r="C31" s="81"/>
      <c r="D31" s="9"/>
      <c r="E31" s="9"/>
      <c r="F31" s="9"/>
      <c r="G31" s="9"/>
      <c r="H31" s="81"/>
      <c r="I31" s="9"/>
      <c r="L31" s="9"/>
    </row>
    <row r="32" ht="20.25" spans="1:12">
      <c r="A32" s="1"/>
      <c r="B32" s="81"/>
      <c r="C32" s="81"/>
      <c r="D32" s="81"/>
      <c r="E32" s="9"/>
      <c r="F32" s="9"/>
      <c r="G32" s="9"/>
      <c r="H32" s="81"/>
      <c r="I32" s="9"/>
      <c r="L32" s="9"/>
    </row>
    <row r="33" ht="20.25" spans="1:12">
      <c r="A33" s="1"/>
      <c r="E33" s="9"/>
      <c r="F33" s="9"/>
      <c r="G33" s="9"/>
      <c r="I33" s="9"/>
      <c r="L33" s="9"/>
    </row>
    <row r="34" s="72" customFormat="1" ht="20.25" spans="1:12">
      <c r="A34" s="8"/>
      <c r="D34" s="89">
        <f t="shared" ref="D34:I34" si="2">SUM(D26:D32)</f>
        <v>37071</v>
      </c>
      <c r="E34" s="90">
        <f t="shared" si="2"/>
        <v>400</v>
      </c>
      <c r="F34" s="90"/>
      <c r="G34" s="90"/>
      <c r="I34" s="85">
        <f t="shared" si="2"/>
        <v>18015</v>
      </c>
      <c r="L34" s="85"/>
    </row>
    <row r="35" ht="20.25" spans="1:12">
      <c r="A35" s="1"/>
      <c r="B35" s="74" t="s">
        <v>0</v>
      </c>
      <c r="C35" s="74"/>
      <c r="D35" s="74"/>
      <c r="E35" s="75"/>
      <c r="F35" s="75"/>
      <c r="G35" s="75"/>
      <c r="H35" s="74" t="s">
        <v>1</v>
      </c>
      <c r="I35" s="75"/>
      <c r="J35" s="74" t="s">
        <v>2</v>
      </c>
      <c r="K35" s="74"/>
      <c r="L35" s="74"/>
    </row>
    <row r="36" ht="20.25" spans="1:12">
      <c r="A36" s="40" t="s">
        <v>30</v>
      </c>
      <c r="B36" s="74" t="s">
        <v>5</v>
      </c>
      <c r="C36" s="74" t="s">
        <v>6</v>
      </c>
      <c r="D36" s="58" t="s">
        <v>7</v>
      </c>
      <c r="E36" s="58" t="s">
        <v>66</v>
      </c>
      <c r="F36" s="58" t="s">
        <v>102</v>
      </c>
      <c r="G36" s="58"/>
      <c r="H36" s="74" t="s">
        <v>8</v>
      </c>
      <c r="I36" s="58" t="s">
        <v>7</v>
      </c>
      <c r="J36" s="74" t="s">
        <v>9</v>
      </c>
      <c r="K36" s="74" t="s">
        <v>10</v>
      </c>
      <c r="L36" s="58" t="s">
        <v>7</v>
      </c>
    </row>
    <row r="37" ht="20.25" spans="1:12">
      <c r="A37" s="1" t="s">
        <v>11</v>
      </c>
      <c r="B37" s="76"/>
      <c r="C37" s="86"/>
      <c r="D37" s="96">
        <f>E37*F37</f>
        <v>0</v>
      </c>
      <c r="E37" s="9"/>
      <c r="F37" s="76"/>
      <c r="G37" s="76"/>
      <c r="H37" s="1" t="s">
        <v>130</v>
      </c>
      <c r="I37" s="9">
        <v>4840</v>
      </c>
      <c r="L37" s="9"/>
    </row>
    <row r="38" ht="20.25" spans="1:12">
      <c r="A38" s="1" t="s">
        <v>14</v>
      </c>
      <c r="B38" s="76"/>
      <c r="C38" s="86"/>
      <c r="D38" s="9">
        <f>E38*F38</f>
        <v>27516</v>
      </c>
      <c r="E38" s="97">
        <v>300</v>
      </c>
      <c r="F38" s="76">
        <v>91.72</v>
      </c>
      <c r="G38" s="76" t="s">
        <v>139</v>
      </c>
      <c r="H38" s="1" t="s">
        <v>132</v>
      </c>
      <c r="I38" s="9">
        <v>9995</v>
      </c>
      <c r="L38" s="9"/>
    </row>
    <row r="39" ht="20.25" spans="1:12">
      <c r="A39" s="1" t="s">
        <v>17</v>
      </c>
      <c r="B39" s="81"/>
      <c r="C39" s="81"/>
      <c r="D39" s="9"/>
      <c r="E39" s="87"/>
      <c r="F39" s="98"/>
      <c r="G39" s="87"/>
      <c r="H39" s="1" t="s">
        <v>133</v>
      </c>
      <c r="I39" s="9"/>
      <c r="L39" s="9"/>
    </row>
    <row r="40" ht="20.25" spans="1:12">
      <c r="A40" s="1" t="s">
        <v>20</v>
      </c>
      <c r="B40" s="81"/>
      <c r="C40" s="81"/>
      <c r="D40" s="9"/>
      <c r="E40" s="87"/>
      <c r="F40" s="98"/>
      <c r="G40" s="87"/>
      <c r="H40" s="1" t="s">
        <v>134</v>
      </c>
      <c r="I40" s="9"/>
      <c r="L40" s="9"/>
    </row>
    <row r="41" ht="20.25" spans="1:12">
      <c r="A41" s="1" t="s">
        <v>23</v>
      </c>
      <c r="B41" s="81"/>
      <c r="C41" s="81"/>
      <c r="D41" s="80"/>
      <c r="E41" s="87"/>
      <c r="F41" s="98"/>
      <c r="G41" s="87"/>
      <c r="H41" s="1" t="s">
        <v>135</v>
      </c>
      <c r="I41" s="9"/>
      <c r="L41" s="9"/>
    </row>
    <row r="42" ht="20.25" spans="1:12">
      <c r="A42" s="1"/>
      <c r="B42" s="81"/>
      <c r="C42" s="81"/>
      <c r="D42" s="9"/>
      <c r="E42" s="87"/>
      <c r="F42" s="98"/>
      <c r="G42" s="87"/>
      <c r="H42" s="81"/>
      <c r="I42" s="9"/>
      <c r="L42" s="9"/>
    </row>
    <row r="43" ht="20.25" spans="1:12">
      <c r="A43" s="1"/>
      <c r="B43" s="81"/>
      <c r="C43" s="81"/>
      <c r="D43" s="81"/>
      <c r="E43" s="9"/>
      <c r="F43" s="9"/>
      <c r="G43" s="9"/>
      <c r="I43" s="9"/>
      <c r="L43" s="9"/>
    </row>
    <row r="44" ht="20.25" spans="1:12">
      <c r="A44" s="1"/>
      <c r="E44" s="9"/>
      <c r="F44" s="9"/>
      <c r="G44" s="9"/>
      <c r="I44" s="9"/>
      <c r="L44" s="9"/>
    </row>
    <row r="45" s="72" customFormat="1" ht="20.25" spans="1:12">
      <c r="A45" s="8"/>
      <c r="D45" s="72">
        <f t="shared" ref="D45:I45" si="3">SUM(D37:D43)</f>
        <v>27516</v>
      </c>
      <c r="E45" s="85">
        <f t="shared" si="3"/>
        <v>300</v>
      </c>
      <c r="F45" s="85"/>
      <c r="G45" s="85"/>
      <c r="I45" s="85">
        <f t="shared" si="3"/>
        <v>14835</v>
      </c>
      <c r="L45" s="85"/>
    </row>
  </sheetData>
  <mergeCells count="12">
    <mergeCell ref="B3:E3"/>
    <mergeCell ref="H3:I3"/>
    <mergeCell ref="J3:L3"/>
    <mergeCell ref="B15:E15"/>
    <mergeCell ref="H15:I15"/>
    <mergeCell ref="J15:L15"/>
    <mergeCell ref="B24:E24"/>
    <mergeCell ref="H24:I24"/>
    <mergeCell ref="J24:L24"/>
    <mergeCell ref="B35:E35"/>
    <mergeCell ref="H35:I35"/>
    <mergeCell ref="J35:L35"/>
  </mergeCells>
  <pageMargins left="1" right="1" top="1" bottom="1" header="0.5" footer="0.5"/>
  <pageSetup paperSize="9" scale="65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6"/>
  <sheetViews>
    <sheetView topLeftCell="A31" workbookViewId="0">
      <selection activeCell="A1" sqref="A1:F56"/>
    </sheetView>
  </sheetViews>
  <sheetFormatPr defaultColWidth="9" defaultRowHeight="14.25"/>
  <cols>
    <col min="2" max="2" width="45" customWidth="1"/>
    <col min="3" max="3" width="25" customWidth="1"/>
    <col min="4" max="4" width="23.5" customWidth="1"/>
    <col min="5" max="5" width="16.75" customWidth="1"/>
    <col min="6" max="6" width="18.625" customWidth="1"/>
    <col min="7" max="7" width="15.75" customWidth="1"/>
    <col min="8" max="9" width="18" customWidth="1"/>
    <col min="10" max="10" width="18.25" customWidth="1"/>
    <col min="11" max="11" width="11.125" customWidth="1"/>
    <col min="12" max="12" width="17.625" customWidth="1"/>
    <col min="14" max="14" width="19.375" customWidth="1"/>
    <col min="16" max="16" width="16.75" customWidth="1"/>
    <col min="17" max="17" width="11.75" customWidth="1"/>
    <col min="18" max="18" width="16.125" customWidth="1"/>
  </cols>
  <sheetData>
    <row r="1" spans="1:18">
      <c r="C1" s="9"/>
      <c r="D1" s="9"/>
      <c r="E1" s="58"/>
      <c r="F1" s="9"/>
      <c r="G1" s="9"/>
    </row>
    <row r="2" ht="20.25" spans="1:18">
      <c r="A2" s="10" t="s">
        <v>140</v>
      </c>
      <c r="B2" s="1"/>
      <c r="C2" s="11"/>
      <c r="D2" s="11"/>
      <c r="E2" s="18"/>
      <c r="F2" s="11"/>
      <c r="G2" s="11"/>
    </row>
    <row r="3" ht="20.25" spans="1:18">
      <c r="A3" s="10" t="s">
        <v>141</v>
      </c>
      <c r="B3" s="1"/>
      <c r="C3" s="11"/>
      <c r="D3" s="11"/>
      <c r="E3" s="18"/>
      <c r="F3" s="11"/>
      <c r="G3" s="11"/>
    </row>
    <row r="4" ht="20.25" spans="1:18">
      <c r="A4" s="10" t="s">
        <v>142</v>
      </c>
      <c r="B4" s="1"/>
      <c r="C4" s="11"/>
      <c r="D4" s="11"/>
      <c r="E4" s="18"/>
      <c r="F4" s="11"/>
      <c r="G4" s="11"/>
    </row>
    <row r="5" ht="20.25" spans="1:18">
      <c r="A5" s="10" t="s">
        <v>143</v>
      </c>
      <c r="B5" s="1"/>
      <c r="C5" s="11"/>
      <c r="D5" s="11"/>
      <c r="E5" s="18"/>
      <c r="F5" s="11"/>
      <c r="G5" s="11"/>
    </row>
    <row r="6" ht="20.25" spans="1:18">
      <c r="A6" s="10"/>
      <c r="B6" s="1"/>
      <c r="C6" s="11"/>
      <c r="D6" s="11"/>
      <c r="E6" s="18"/>
      <c r="F6" s="11"/>
      <c r="G6" s="11"/>
    </row>
    <row r="7" ht="20.25" spans="1:18">
      <c r="A7" s="1"/>
      <c r="B7" s="1"/>
      <c r="C7" s="11"/>
      <c r="D7" s="24"/>
      <c r="E7" s="18"/>
      <c r="F7" s="11"/>
      <c r="G7" s="11"/>
    </row>
    <row r="8" ht="20.25" spans="1:18">
      <c r="A8" s="10" t="s">
        <v>144</v>
      </c>
      <c r="B8" s="12"/>
      <c r="C8" s="12" t="s">
        <v>145</v>
      </c>
      <c r="D8" s="11"/>
      <c r="E8" s="18"/>
      <c r="F8" s="11"/>
      <c r="G8" s="11"/>
    </row>
    <row r="9" ht="20.25" spans="1:18">
      <c r="A9" s="1"/>
      <c r="B9" s="1"/>
      <c r="C9" s="19" t="s">
        <v>146</v>
      </c>
      <c r="D9" s="24" t="s">
        <v>147</v>
      </c>
      <c r="E9" s="18" t="s">
        <v>148</v>
      </c>
      <c r="F9" s="106" t="s">
        <v>149</v>
      </c>
      <c r="G9" s="18" t="s">
        <v>148</v>
      </c>
      <c r="H9" s="106" t="s">
        <v>150</v>
      </c>
      <c r="I9" s="18" t="s">
        <v>148</v>
      </c>
      <c r="J9" s="106" t="s">
        <v>151</v>
      </c>
      <c r="K9" s="18" t="s">
        <v>148</v>
      </c>
      <c r="L9" s="17" t="s">
        <v>152</v>
      </c>
      <c r="M9" s="18" t="s">
        <v>148</v>
      </c>
      <c r="N9" s="17" t="s">
        <v>153</v>
      </c>
      <c r="O9" s="18" t="s">
        <v>148</v>
      </c>
      <c r="P9" s="17" t="s">
        <v>154</v>
      </c>
      <c r="Q9" s="18" t="s">
        <v>148</v>
      </c>
      <c r="R9" s="17" t="s">
        <v>155</v>
      </c>
    </row>
    <row r="10" ht="20.25" spans="1:18">
      <c r="A10" s="2" t="s">
        <v>4</v>
      </c>
      <c r="B10" s="2" t="s">
        <v>156</v>
      </c>
      <c r="C10" s="20" t="e">
        <f>'[1]Weekly-January'!G10</f>
        <v>#REF!</v>
      </c>
      <c r="D10" s="20" t="e">
        <f>'[2]Weekly-February'!G10</f>
        <v>#REF!</v>
      </c>
      <c r="E10" s="59"/>
      <c r="F10" s="20">
        <f>'Weekly-March'!D10</f>
        <v>347170</v>
      </c>
      <c r="G10" s="20"/>
      <c r="H10" s="70">
        <f>'Weekly-April'!D10</f>
        <v>279115</v>
      </c>
      <c r="I10" s="70"/>
      <c r="J10" s="70">
        <f>'Weekly-May'!D10</f>
        <v>255425</v>
      </c>
      <c r="K10" s="20"/>
      <c r="L10" s="70">
        <f>'Weekly-June'!D10</f>
        <v>440395</v>
      </c>
      <c r="M10" s="20"/>
      <c r="N10" s="70">
        <f>'Weekly-July'!D10</f>
        <v>325190</v>
      </c>
      <c r="O10" s="20"/>
      <c r="P10" s="70">
        <f>'Weekly-Aug'!D10</f>
        <v>345550</v>
      </c>
      <c r="Q10" s="20"/>
      <c r="R10" s="70">
        <f>'Weekly-April'!N10</f>
        <v>0</v>
      </c>
    </row>
    <row r="11" ht="20.25" spans="1:18">
      <c r="A11" s="1"/>
      <c r="B11" s="10" t="s">
        <v>0</v>
      </c>
      <c r="C11" s="11"/>
      <c r="D11" s="19">
        <v>49567.5</v>
      </c>
      <c r="E11" s="18" t="e">
        <f>D11/D10</f>
        <v>#REF!</v>
      </c>
      <c r="F11" s="22">
        <f>'Weekly-March'!D11</f>
        <v>45326.3</v>
      </c>
      <c r="G11" s="23">
        <f t="shared" ref="G11:K11" si="0">F11/F10</f>
        <v>0.130559380130772</v>
      </c>
      <c r="H11" s="18">
        <f>'Weekly-April'!D11</f>
        <v>111498</v>
      </c>
      <c r="I11" s="23">
        <f t="shared" si="0"/>
        <v>0.399469752610931</v>
      </c>
      <c r="J11" s="18">
        <f>'Weekly-May'!D11</f>
        <v>35726</v>
      </c>
      <c r="K11" s="23">
        <f t="shared" si="0"/>
        <v>0.139868846040912</v>
      </c>
      <c r="L11" s="18">
        <f>'Weekly-June'!D11</f>
        <v>47262</v>
      </c>
      <c r="M11" s="23">
        <f t="shared" ref="M11:Q11" si="1">L11/L10</f>
        <v>0.107317294701348</v>
      </c>
      <c r="N11" s="18">
        <f>'Weekly-July'!D11</f>
        <v>41890.5</v>
      </c>
      <c r="O11" s="23">
        <f t="shared" si="1"/>
        <v>0.128818536855377</v>
      </c>
      <c r="P11" s="18">
        <f>'Weekly-Aug'!D11</f>
        <v>64256</v>
      </c>
      <c r="Q11" s="23">
        <f t="shared" si="1"/>
        <v>0.185952828823615</v>
      </c>
      <c r="R11" s="18">
        <f>'Weekly-April'!N11</f>
        <v>0</v>
      </c>
    </row>
    <row r="12" ht="20.25" spans="1:18">
      <c r="A12" s="1"/>
      <c r="B12" s="10" t="s">
        <v>157</v>
      </c>
      <c r="C12" s="11"/>
      <c r="D12" s="19">
        <v>21650</v>
      </c>
      <c r="E12" s="18" t="e">
        <f>D12/D10</f>
        <v>#REF!</v>
      </c>
      <c r="F12" s="22">
        <f>'Weekly-March'!D12</f>
        <v>42268</v>
      </c>
      <c r="G12" s="23">
        <f t="shared" ref="G12:K12" si="2">F12/F10</f>
        <v>0.121750151222744</v>
      </c>
      <c r="H12" s="18">
        <f>'Weekly-April'!D12</f>
        <v>23085</v>
      </c>
      <c r="I12" s="23">
        <f t="shared" si="2"/>
        <v>0.0827078444368809</v>
      </c>
      <c r="J12" s="18">
        <f>'Weekly-May'!D12</f>
        <v>38080</v>
      </c>
      <c r="K12" s="23">
        <f t="shared" si="2"/>
        <v>0.149084858569052</v>
      </c>
      <c r="L12" s="18">
        <f>'Weekly-June'!D12</f>
        <v>38783</v>
      </c>
      <c r="M12" s="23">
        <f t="shared" ref="M12:Q12" si="3">L12/L10</f>
        <v>0.0880641242520919</v>
      </c>
      <c r="N12" s="18">
        <f>'Weekly-July'!D12</f>
        <v>36455</v>
      </c>
      <c r="O12" s="23">
        <f t="shared" si="3"/>
        <v>0.112103693225499</v>
      </c>
      <c r="P12" s="18">
        <f>'Weekly-Aug'!D12</f>
        <v>28248</v>
      </c>
      <c r="Q12" s="23">
        <f t="shared" si="3"/>
        <v>0.0817479380697439</v>
      </c>
      <c r="R12" s="18">
        <f>'Weekly-April'!N12</f>
        <v>0</v>
      </c>
    </row>
    <row r="13" ht="20.25" spans="1:18">
      <c r="A13" s="1"/>
      <c r="B13" s="10" t="s">
        <v>158</v>
      </c>
      <c r="C13" s="11"/>
      <c r="D13" s="19">
        <v>50000</v>
      </c>
      <c r="E13" s="18"/>
      <c r="F13" s="22">
        <v>50000</v>
      </c>
      <c r="G13" s="23">
        <f t="shared" ref="G13:K13" si="4">F13/F10</f>
        <v>0.144021660857793</v>
      </c>
      <c r="H13" s="18">
        <v>50000</v>
      </c>
      <c r="I13" s="23">
        <f t="shared" si="4"/>
        <v>0.179137631442237</v>
      </c>
      <c r="J13" s="18">
        <v>50000</v>
      </c>
      <c r="K13" s="23">
        <f t="shared" si="4"/>
        <v>0.195752177742977</v>
      </c>
      <c r="L13" s="18">
        <v>50000</v>
      </c>
      <c r="M13" s="23">
        <f t="shared" ref="M13:Q13" si="5">L13/L10</f>
        <v>0.113534440672578</v>
      </c>
      <c r="N13" s="18">
        <v>50000</v>
      </c>
      <c r="O13" s="23">
        <f t="shared" si="5"/>
        <v>0.153756265567822</v>
      </c>
      <c r="P13" s="18">
        <v>50000</v>
      </c>
      <c r="Q13" s="23">
        <f t="shared" si="5"/>
        <v>0.144696860078136</v>
      </c>
      <c r="R13" s="18">
        <v>50000</v>
      </c>
    </row>
    <row r="14" ht="24.75" spans="1:18">
      <c r="A14" s="1"/>
      <c r="B14" s="10" t="s">
        <v>159</v>
      </c>
      <c r="C14" s="19"/>
      <c r="D14" s="28">
        <v>58000</v>
      </c>
      <c r="E14" s="18" t="e">
        <f>D14/D10</f>
        <v>#REF!</v>
      </c>
      <c r="F14" s="22">
        <v>58000</v>
      </c>
      <c r="G14" s="26">
        <f t="shared" ref="G14:K14" si="6">F14/F10</f>
        <v>0.16706512659504</v>
      </c>
      <c r="H14" s="18">
        <v>58000</v>
      </c>
      <c r="I14" s="26">
        <f t="shared" si="6"/>
        <v>0.207799652472995</v>
      </c>
      <c r="J14" s="18">
        <v>58000</v>
      </c>
      <c r="K14" s="26">
        <f t="shared" si="6"/>
        <v>0.227072526181854</v>
      </c>
      <c r="L14" s="18">
        <v>58000</v>
      </c>
      <c r="M14" s="26">
        <f t="shared" ref="M14:Q14" si="7">L14/L10</f>
        <v>0.131699951180191</v>
      </c>
      <c r="N14" s="18">
        <v>58000</v>
      </c>
      <c r="O14" s="26">
        <f t="shared" si="7"/>
        <v>0.178357268058673</v>
      </c>
      <c r="P14" s="18">
        <v>58000</v>
      </c>
      <c r="Q14" s="26">
        <f t="shared" si="7"/>
        <v>0.167848357690638</v>
      </c>
      <c r="R14" s="18">
        <v>58000</v>
      </c>
    </row>
    <row r="15" ht="20.25" spans="1:18">
      <c r="A15" s="3"/>
      <c r="B15" s="3" t="s">
        <v>160</v>
      </c>
      <c r="C15" s="32"/>
      <c r="D15" s="32">
        <f>SUM(D11:D14)</f>
        <v>179217.5</v>
      </c>
      <c r="E15" s="61" t="e">
        <f>D15/D10</f>
        <v>#REF!</v>
      </c>
      <c r="F15" s="30">
        <f>SUM(F11:F14)</f>
        <v>195594.3</v>
      </c>
      <c r="G15" s="30">
        <f t="shared" ref="G15:K15" si="8">F15/F10</f>
        <v>0.563396318806348</v>
      </c>
      <c r="H15" s="64">
        <f t="shared" ref="H15:L15" si="9">SUM(H11:H14)</f>
        <v>242583</v>
      </c>
      <c r="I15" s="30">
        <f t="shared" si="8"/>
        <v>0.869114880963044</v>
      </c>
      <c r="J15" s="64">
        <f t="shared" si="9"/>
        <v>181806</v>
      </c>
      <c r="K15" s="30">
        <f t="shared" si="8"/>
        <v>0.711778408534795</v>
      </c>
      <c r="L15" s="64">
        <f t="shared" si="9"/>
        <v>194045</v>
      </c>
      <c r="M15" s="30">
        <f t="shared" ref="M15:Q15" si="10">L15/L10</f>
        <v>0.440615810806208</v>
      </c>
      <c r="N15" s="64">
        <f t="shared" ref="N15:R15" si="11">SUM(N11:N14)</f>
        <v>186345.5</v>
      </c>
      <c r="O15" s="30">
        <f t="shared" si="10"/>
        <v>0.573035763707371</v>
      </c>
      <c r="P15" s="64">
        <f t="shared" si="11"/>
        <v>200504</v>
      </c>
      <c r="Q15" s="30">
        <f t="shared" si="10"/>
        <v>0.580245984662133</v>
      </c>
      <c r="R15" s="64">
        <f t="shared" si="11"/>
        <v>108000</v>
      </c>
    </row>
    <row r="16" ht="20.25" spans="1:18">
      <c r="A16" s="1"/>
      <c r="B16" s="33" t="s">
        <v>161</v>
      </c>
      <c r="C16" s="33"/>
      <c r="D16" s="19">
        <v>100065.5</v>
      </c>
      <c r="E16" s="18" t="e">
        <f>D16/D10</f>
        <v>#REF!</v>
      </c>
      <c r="F16" s="23">
        <f>'Weekly-March'!D16</f>
        <v>124575.7</v>
      </c>
      <c r="G16" s="23">
        <f t="shared" ref="G16:K16" si="12">F16/F10</f>
        <v>0.358831984330443</v>
      </c>
      <c r="H16" s="18">
        <f>'Weekly-April'!D16</f>
        <v>36532</v>
      </c>
      <c r="I16" s="23">
        <f t="shared" si="12"/>
        <v>0.130885119036956</v>
      </c>
      <c r="J16" s="18">
        <f>'Weekly-Aug'!E16</f>
        <v>0.419754015337867</v>
      </c>
      <c r="K16" s="23">
        <f t="shared" si="12"/>
        <v>1.64335525237493e-6</v>
      </c>
      <c r="L16" s="18">
        <f>'Weekly-April'!H16</f>
        <v>-18125</v>
      </c>
      <c r="M16" s="23">
        <f t="shared" ref="M16:Q16" si="13">L16/L10</f>
        <v>-0.0411562347438095</v>
      </c>
      <c r="N16" s="18">
        <f>'Weekly-April'!J16</f>
        <v>56693</v>
      </c>
      <c r="O16" s="23">
        <f t="shared" si="13"/>
        <v>0.174338079276731</v>
      </c>
      <c r="P16" s="18">
        <f>'Weekly-Aug'!L16</f>
        <v>0</v>
      </c>
      <c r="Q16" s="23">
        <f t="shared" si="13"/>
        <v>0</v>
      </c>
      <c r="R16" s="18">
        <f>'Weekly-April'!N16</f>
        <v>0</v>
      </c>
    </row>
    <row r="17" ht="24.75" spans="1:18">
      <c r="A17" s="1"/>
      <c r="B17" s="34" t="s">
        <v>162</v>
      </c>
      <c r="C17" s="14"/>
      <c r="D17" s="29">
        <f>'Weekly-March'!D17</f>
        <v>156226.5</v>
      </c>
      <c r="E17" s="18" t="e">
        <f>D17/D10</f>
        <v>#REF!</v>
      </c>
      <c r="F17" s="26">
        <f>'Weekly-March'!D17</f>
        <v>156226.5</v>
      </c>
      <c r="G17" s="23">
        <f t="shared" ref="G17:K17" si="14">F17/F10</f>
        <v>0.45</v>
      </c>
      <c r="H17" s="18">
        <f>'Weekly-April'!D17</f>
        <v>125601.75</v>
      </c>
      <c r="I17" s="23">
        <f t="shared" si="14"/>
        <v>0.45</v>
      </c>
      <c r="J17" s="18">
        <f>'Weekly-April'!E17</f>
        <v>0.45</v>
      </c>
      <c r="K17" s="23">
        <f t="shared" si="14"/>
        <v>1.7617695996868e-6</v>
      </c>
      <c r="L17" s="18">
        <f>'Weekly-April'!H17</f>
        <v>9969.75</v>
      </c>
      <c r="M17" s="23">
        <f t="shared" ref="M17:Q17" si="15">L17/L10</f>
        <v>0.0226381997979087</v>
      </c>
      <c r="N17" s="18">
        <f>'Weekly-April'!J17</f>
        <v>44950.5</v>
      </c>
      <c r="O17" s="23">
        <f t="shared" si="15"/>
        <v>0.138228420308128</v>
      </c>
      <c r="P17" s="18">
        <f>'Weekly-Aug'!L17</f>
        <v>0</v>
      </c>
      <c r="Q17" s="23">
        <f t="shared" si="15"/>
        <v>0</v>
      </c>
      <c r="R17" s="18">
        <f>'Weekly-April'!N17</f>
        <v>0</v>
      </c>
    </row>
    <row r="18" ht="20.25" spans="1:18">
      <c r="A18" s="4"/>
      <c r="B18" s="35" t="s">
        <v>163</v>
      </c>
      <c r="C18" s="4"/>
      <c r="D18" s="4">
        <f>D16-D17</f>
        <v>-56161</v>
      </c>
      <c r="E18" s="62"/>
      <c r="F18" s="4">
        <f>F16-F17</f>
        <v>-31650.8</v>
      </c>
      <c r="G18" s="4"/>
      <c r="H18" s="62">
        <f t="shared" ref="H18:L18" si="16">H16-H17</f>
        <v>-89069.75</v>
      </c>
      <c r="I18" s="4"/>
      <c r="J18" s="62">
        <f t="shared" si="16"/>
        <v>-0.030245984662133</v>
      </c>
      <c r="K18" s="4"/>
      <c r="L18" s="62">
        <f t="shared" si="16"/>
        <v>-28094.75</v>
      </c>
      <c r="M18" s="4"/>
      <c r="N18" s="62">
        <f t="shared" ref="N18:R18" si="17">N16-N17</f>
        <v>11742.5</v>
      </c>
      <c r="O18" s="4"/>
      <c r="P18" s="62">
        <f t="shared" si="17"/>
        <v>0</v>
      </c>
      <c r="Q18" s="4"/>
      <c r="R18" s="62">
        <f t="shared" si="17"/>
        <v>0</v>
      </c>
    </row>
    <row r="19" ht="20.25" spans="1:18">
      <c r="A19" s="1"/>
      <c r="B19" s="34"/>
      <c r="C19" s="11"/>
      <c r="D19" s="11"/>
      <c r="E19" s="18"/>
      <c r="F19" s="36"/>
      <c r="G19" s="36"/>
      <c r="H19" s="17"/>
      <c r="I19" s="36"/>
      <c r="J19" s="17"/>
      <c r="K19" s="36"/>
      <c r="L19" s="17"/>
      <c r="M19" s="36"/>
      <c r="N19" s="17"/>
      <c r="O19" s="36"/>
      <c r="P19" s="17"/>
      <c r="Q19" s="36"/>
      <c r="R19" s="17"/>
    </row>
    <row r="20" ht="20.25" spans="1:18">
      <c r="A20" s="2" t="s">
        <v>26</v>
      </c>
      <c r="B20" s="2" t="s">
        <v>156</v>
      </c>
      <c r="C20" s="20"/>
      <c r="D20" s="20">
        <v>293150</v>
      </c>
      <c r="E20" s="59"/>
      <c r="F20" s="21">
        <f>'Weekly-March'!D20</f>
        <v>293620</v>
      </c>
      <c r="G20" s="21"/>
      <c r="H20" s="21">
        <f>'Weekly-April'!F20</f>
        <v>65150</v>
      </c>
      <c r="I20" s="21"/>
      <c r="J20" s="21">
        <f>'Weekly-May'!D20</f>
        <v>36990</v>
      </c>
      <c r="K20" s="21"/>
      <c r="L20" s="21">
        <f>'Weekly-April'!J20</f>
        <v>60470</v>
      </c>
      <c r="M20" s="21"/>
      <c r="N20" s="21">
        <f>'Weekly-April'!L20</f>
        <v>0</v>
      </c>
      <c r="O20" s="21"/>
      <c r="P20" s="21">
        <f>'Weekly-April'!N20</f>
        <v>0</v>
      </c>
      <c r="Q20" s="21"/>
      <c r="R20" s="21">
        <f>'Weekly-April'!P20</f>
        <v>0</v>
      </c>
    </row>
    <row r="21" ht="20.25" spans="1:18">
      <c r="A21" s="1"/>
      <c r="B21" s="10" t="s">
        <v>0</v>
      </c>
      <c r="C21" s="11"/>
      <c r="D21" s="19">
        <f>'Weekly-March'!D21</f>
        <v>89043.9</v>
      </c>
      <c r="E21" s="18">
        <f>D21/D20</f>
        <v>0.303748592870544</v>
      </c>
      <c r="F21" s="23">
        <f>'Weekly-March'!D21</f>
        <v>89043.9</v>
      </c>
      <c r="G21" s="36">
        <f t="shared" ref="G21:K21" si="18">F21/F20</f>
        <v>0.30326237994687</v>
      </c>
      <c r="H21" s="23">
        <f>'Weekly-April'!F21</f>
        <v>4500</v>
      </c>
      <c r="I21" s="36">
        <f t="shared" si="18"/>
        <v>0.069071373752878</v>
      </c>
      <c r="J21" s="23">
        <f>'Weekly-April'!G21</f>
        <v>0</v>
      </c>
      <c r="K21" s="36">
        <f t="shared" si="18"/>
        <v>0</v>
      </c>
      <c r="L21" s="23">
        <f>'Weekly-April'!J21</f>
        <v>0</v>
      </c>
      <c r="M21" s="36">
        <f t="shared" ref="M21:Q21" si="19">L21/L20</f>
        <v>0</v>
      </c>
      <c r="N21" s="23">
        <f>'Weekly-April'!L21</f>
        <v>0</v>
      </c>
      <c r="O21" s="36" t="e">
        <f t="shared" si="19"/>
        <v>#DIV/0!</v>
      </c>
      <c r="P21" s="23">
        <f>'Weekly-April'!N21</f>
        <v>0</v>
      </c>
      <c r="Q21" s="36" t="e">
        <f t="shared" si="19"/>
        <v>#DIV/0!</v>
      </c>
      <c r="R21" s="23">
        <f>'Weekly-April'!P21</f>
        <v>0</v>
      </c>
    </row>
    <row r="22" ht="20.25" spans="1:18">
      <c r="A22" s="1"/>
      <c r="B22" s="10" t="s">
        <v>157</v>
      </c>
      <c r="C22" s="11"/>
      <c r="D22" s="19">
        <f>'Weekly-March'!D22</f>
        <v>38908</v>
      </c>
      <c r="E22" s="18">
        <f>D22/D20</f>
        <v>0.132723861504349</v>
      </c>
      <c r="F22" s="23">
        <f>'Weekly-March'!D22</f>
        <v>38908</v>
      </c>
      <c r="G22" s="36">
        <f t="shared" ref="G22:K22" si="20">F22/F20</f>
        <v>0.132511409304543</v>
      </c>
      <c r="H22" s="23">
        <f>'Weekly-April'!F22</f>
        <v>4895</v>
      </c>
      <c r="I22" s="36">
        <f t="shared" si="20"/>
        <v>0.0751343054489639</v>
      </c>
      <c r="J22" s="23">
        <f>'Weekly-April'!G22</f>
        <v>0</v>
      </c>
      <c r="K22" s="36">
        <f t="shared" si="20"/>
        <v>0</v>
      </c>
      <c r="L22" s="23">
        <f>'Weekly-April'!J22</f>
        <v>7750</v>
      </c>
      <c r="M22" s="36">
        <f t="shared" ref="M22:Q22" si="21">L22/L20</f>
        <v>0.12816272531834</v>
      </c>
      <c r="N22" s="23">
        <f>'Weekly-April'!L22</f>
        <v>0</v>
      </c>
      <c r="O22" s="36" t="e">
        <f t="shared" si="21"/>
        <v>#DIV/0!</v>
      </c>
      <c r="P22" s="23">
        <f>'Weekly-April'!N22</f>
        <v>0</v>
      </c>
      <c r="Q22" s="36" t="e">
        <f t="shared" si="21"/>
        <v>#DIV/0!</v>
      </c>
      <c r="R22" s="23">
        <f>'Weekly-April'!P22</f>
        <v>0</v>
      </c>
    </row>
    <row r="23" ht="20.25" spans="1:18">
      <c r="A23" s="1"/>
      <c r="B23" s="10" t="s">
        <v>158</v>
      </c>
      <c r="C23" s="11"/>
      <c r="D23" s="19">
        <f>'Weekly-March'!D23</f>
        <v>50000</v>
      </c>
      <c r="E23" s="18">
        <f>D23/D20</f>
        <v>0.170561146170902</v>
      </c>
      <c r="F23" s="23">
        <v>50000</v>
      </c>
      <c r="G23" s="36">
        <f t="shared" ref="G23:K23" si="22">F23/F20</f>
        <v>0.17028812751175</v>
      </c>
      <c r="H23" s="23">
        <v>50000</v>
      </c>
      <c r="I23" s="36">
        <f t="shared" si="22"/>
        <v>0.767459708365311</v>
      </c>
      <c r="J23" s="23">
        <v>50000</v>
      </c>
      <c r="K23" s="36">
        <f t="shared" si="22"/>
        <v>1.35171668018383</v>
      </c>
      <c r="L23" s="23">
        <v>50000</v>
      </c>
      <c r="M23" s="36">
        <f t="shared" ref="M23:Q23" si="23">L23/L20</f>
        <v>0.826856292376385</v>
      </c>
      <c r="N23" s="23">
        <v>50000</v>
      </c>
      <c r="O23" s="36" t="e">
        <f t="shared" si="23"/>
        <v>#DIV/0!</v>
      </c>
      <c r="P23" s="23">
        <v>50000</v>
      </c>
      <c r="Q23" s="36" t="e">
        <f t="shared" si="23"/>
        <v>#DIV/0!</v>
      </c>
      <c r="R23" s="23">
        <v>50000</v>
      </c>
    </row>
    <row r="24" ht="24.75" spans="1:18">
      <c r="A24" s="1"/>
      <c r="B24" s="10" t="s">
        <v>159</v>
      </c>
      <c r="C24" s="19"/>
      <c r="D24" s="28">
        <f>'Weekly-March'!D24</f>
        <v>58000</v>
      </c>
      <c r="E24" s="18">
        <f>D24/D20</f>
        <v>0.197850929558247</v>
      </c>
      <c r="F24" s="26">
        <v>58000</v>
      </c>
      <c r="G24" s="36">
        <f t="shared" ref="G24:K24" si="24">F24/F20</f>
        <v>0.19753422791363</v>
      </c>
      <c r="H24" s="26">
        <v>58000</v>
      </c>
      <c r="I24" s="36">
        <f t="shared" si="24"/>
        <v>0.890253261703761</v>
      </c>
      <c r="J24" s="26">
        <v>58000</v>
      </c>
      <c r="K24" s="36">
        <f t="shared" si="24"/>
        <v>1.56799134901325</v>
      </c>
      <c r="L24" s="26">
        <v>58000</v>
      </c>
      <c r="M24" s="36">
        <f t="shared" ref="M24:Q24" si="25">L24/L20</f>
        <v>0.959153299156607</v>
      </c>
      <c r="N24" s="26">
        <v>58000</v>
      </c>
      <c r="O24" s="36" t="e">
        <f t="shared" si="25"/>
        <v>#DIV/0!</v>
      </c>
      <c r="P24" s="26">
        <v>58000</v>
      </c>
      <c r="Q24" s="36" t="e">
        <f t="shared" si="25"/>
        <v>#DIV/0!</v>
      </c>
      <c r="R24" s="26">
        <v>58000</v>
      </c>
    </row>
    <row r="25" ht="20.25" spans="1:18">
      <c r="A25" s="3"/>
      <c r="B25" s="3" t="s">
        <v>160</v>
      </c>
      <c r="C25" s="32"/>
      <c r="D25" s="32">
        <f>SUM(D21:D24)</f>
        <v>235951.9</v>
      </c>
      <c r="E25" s="61">
        <f>D25/D20</f>
        <v>0.804884530104042</v>
      </c>
      <c r="F25" s="32">
        <f>SUM(F21:F24)</f>
        <v>235951.9</v>
      </c>
      <c r="G25" s="32">
        <f t="shared" ref="G25:K25" si="26">F25/F20</f>
        <v>0.803596144676793</v>
      </c>
      <c r="H25" s="32">
        <f t="shared" ref="H25:L25" si="27">SUM(H21:H24)</f>
        <v>117395</v>
      </c>
      <c r="I25" s="32">
        <f t="shared" si="26"/>
        <v>1.80191864927091</v>
      </c>
      <c r="J25" s="32">
        <f t="shared" si="27"/>
        <v>108000</v>
      </c>
      <c r="K25" s="32">
        <f t="shared" si="26"/>
        <v>2.91970802919708</v>
      </c>
      <c r="L25" s="32">
        <f t="shared" si="27"/>
        <v>115750</v>
      </c>
      <c r="M25" s="32">
        <f t="shared" ref="M25:Q25" si="28">L25/L20</f>
        <v>1.91417231685133</v>
      </c>
      <c r="N25" s="32">
        <f t="shared" ref="N25:R25" si="29">SUM(N21:N24)</f>
        <v>108000</v>
      </c>
      <c r="O25" s="32" t="e">
        <f t="shared" si="28"/>
        <v>#DIV/0!</v>
      </c>
      <c r="P25" s="32">
        <f t="shared" si="29"/>
        <v>108000</v>
      </c>
      <c r="Q25" s="32" t="e">
        <f t="shared" si="28"/>
        <v>#DIV/0!</v>
      </c>
      <c r="R25" s="32">
        <f t="shared" si="29"/>
        <v>108000</v>
      </c>
    </row>
    <row r="26" ht="20.25" spans="1:18">
      <c r="A26" s="1"/>
      <c r="B26" s="33" t="s">
        <v>161</v>
      </c>
      <c r="C26" s="33"/>
      <c r="D26" s="19">
        <f>'Weekly-March'!D26</f>
        <v>57668.1</v>
      </c>
      <c r="E26" s="18">
        <f>D26/D20</f>
        <v>0.196718744669964</v>
      </c>
      <c r="F26" s="23">
        <f>F20-F25</f>
        <v>57668.1</v>
      </c>
      <c r="G26" s="36">
        <f t="shared" ref="G26:K26" si="30">F25/F20</f>
        <v>0.803596144676793</v>
      </c>
      <c r="H26" s="23">
        <f t="shared" ref="H26:L26" si="31">H20-H25</f>
        <v>-52245</v>
      </c>
      <c r="I26" s="36">
        <f t="shared" si="30"/>
        <v>1.80191864927091</v>
      </c>
      <c r="J26" s="23">
        <f t="shared" si="31"/>
        <v>-71010</v>
      </c>
      <c r="K26" s="36">
        <f t="shared" si="30"/>
        <v>2.91970802919708</v>
      </c>
      <c r="L26" s="23">
        <f t="shared" si="31"/>
        <v>-55280</v>
      </c>
      <c r="M26" s="36">
        <f t="shared" ref="M26:Q26" si="32">L25/L20</f>
        <v>1.91417231685133</v>
      </c>
      <c r="N26" s="23">
        <f t="shared" ref="N26:R26" si="33">N20-N25</f>
        <v>-108000</v>
      </c>
      <c r="O26" s="36" t="e">
        <f t="shared" si="32"/>
        <v>#DIV/0!</v>
      </c>
      <c r="P26" s="23">
        <f t="shared" si="33"/>
        <v>-108000</v>
      </c>
      <c r="Q26" s="36" t="e">
        <f t="shared" si="32"/>
        <v>#DIV/0!</v>
      </c>
      <c r="R26" s="23">
        <f t="shared" si="33"/>
        <v>-108000</v>
      </c>
    </row>
    <row r="27" ht="20.25" spans="1:18">
      <c r="A27" s="1"/>
      <c r="B27" s="38" t="s">
        <v>162</v>
      </c>
      <c r="C27" s="11"/>
      <c r="D27" s="11">
        <f>'Weekly-March'!D27</f>
        <v>132129</v>
      </c>
      <c r="E27" s="18">
        <f>D27/D20</f>
        <v>0.450721473648303</v>
      </c>
      <c r="F27" s="23">
        <f>F20*0.45</f>
        <v>132129</v>
      </c>
      <c r="G27" s="36">
        <f t="shared" ref="G27:K27" si="34">F27/F20</f>
        <v>0.45</v>
      </c>
      <c r="H27" s="23">
        <f t="shared" ref="H27:L27" si="35">H20*0.45</f>
        <v>29317.5</v>
      </c>
      <c r="I27" s="36">
        <f t="shared" si="34"/>
        <v>0.45</v>
      </c>
      <c r="J27" s="23">
        <f t="shared" si="35"/>
        <v>16645.5</v>
      </c>
      <c r="K27" s="36">
        <f t="shared" si="34"/>
        <v>0.45</v>
      </c>
      <c r="L27" s="23">
        <f t="shared" si="35"/>
        <v>27211.5</v>
      </c>
      <c r="M27" s="36">
        <f t="shared" ref="M27:Q27" si="36">L27/L20</f>
        <v>0.45</v>
      </c>
      <c r="N27" s="23">
        <f t="shared" ref="N27:R27" si="37">N20*0.45</f>
        <v>0</v>
      </c>
      <c r="O27" s="36" t="e">
        <f t="shared" si="36"/>
        <v>#DIV/0!</v>
      </c>
      <c r="P27" s="23">
        <f t="shared" si="37"/>
        <v>0</v>
      </c>
      <c r="Q27" s="36" t="e">
        <f t="shared" si="36"/>
        <v>#DIV/0!</v>
      </c>
      <c r="R27" s="23">
        <f t="shared" si="37"/>
        <v>0</v>
      </c>
    </row>
    <row r="28" ht="20.25" spans="1:18">
      <c r="A28" s="5"/>
      <c r="B28" s="39" t="s">
        <v>163</v>
      </c>
      <c r="C28" s="4"/>
      <c r="D28" s="4">
        <f>D26-D27</f>
        <v>-74460.9</v>
      </c>
      <c r="E28" s="62"/>
      <c r="F28" s="4">
        <f>F26-F27</f>
        <v>-74460.9</v>
      </c>
      <c r="G28" s="4"/>
      <c r="H28" s="4">
        <f t="shared" ref="H28:L28" si="38">H26-H27</f>
        <v>-81562.5</v>
      </c>
      <c r="I28" s="4"/>
      <c r="J28" s="4">
        <f t="shared" si="38"/>
        <v>-87655.5</v>
      </c>
      <c r="K28" s="4"/>
      <c r="L28" s="4">
        <f t="shared" si="38"/>
        <v>-82491.5</v>
      </c>
      <c r="M28" s="4"/>
      <c r="N28" s="4">
        <f t="shared" ref="N28:R28" si="39">N26-N27</f>
        <v>-108000</v>
      </c>
      <c r="O28" s="4"/>
      <c r="P28" s="4">
        <f t="shared" si="39"/>
        <v>-108000</v>
      </c>
      <c r="Q28" s="4"/>
      <c r="R28" s="4">
        <f t="shared" si="39"/>
        <v>-108000</v>
      </c>
    </row>
    <row r="29" ht="20.25" spans="1:18">
      <c r="A29" s="1"/>
      <c r="B29" s="34"/>
      <c r="C29" s="11"/>
      <c r="D29" s="11"/>
      <c r="E29" s="18"/>
      <c r="F29" s="36"/>
      <c r="G29" s="36"/>
      <c r="H29" s="17"/>
      <c r="I29" s="36"/>
      <c r="J29" s="17"/>
      <c r="K29" s="36"/>
      <c r="L29" s="17"/>
      <c r="M29" s="36"/>
      <c r="N29" s="17"/>
      <c r="O29" s="36"/>
      <c r="P29" s="17"/>
      <c r="Q29" s="36"/>
      <c r="R29" s="17"/>
    </row>
    <row r="30" s="57" customFormat="1" ht="20.25" spans="1:18">
      <c r="A30" s="40" t="s">
        <v>28</v>
      </c>
      <c r="B30" s="40" t="s">
        <v>156</v>
      </c>
      <c r="C30" s="55">
        <v>71450</v>
      </c>
      <c r="D30" s="55">
        <v>212145</v>
      </c>
      <c r="E30" s="63"/>
      <c r="F30" s="21">
        <f>'Weekly-March'!D30</f>
        <v>398870</v>
      </c>
      <c r="G30" s="41"/>
      <c r="H30" s="21">
        <f>'Weekly-April'!F30</f>
        <v>119150</v>
      </c>
      <c r="I30" s="41"/>
      <c r="J30" s="21">
        <f>'Weekly-May'!D30</f>
        <v>225885</v>
      </c>
      <c r="K30" s="41"/>
      <c r="L30" s="21">
        <f>'Weekly-April'!J30</f>
        <v>65375</v>
      </c>
      <c r="M30" s="41"/>
      <c r="N30" s="21">
        <f>'Weekly-April'!L30</f>
        <v>0</v>
      </c>
      <c r="O30" s="41"/>
      <c r="P30" s="21">
        <f>'Weekly-April'!N30</f>
        <v>0</v>
      </c>
      <c r="Q30" s="41"/>
      <c r="R30" s="21">
        <f>'Weekly-April'!P30</f>
        <v>0</v>
      </c>
    </row>
    <row r="31" ht="20.25" spans="1:18">
      <c r="A31" s="1"/>
      <c r="B31" s="10" t="s">
        <v>0</v>
      </c>
      <c r="C31" s="11"/>
      <c r="D31" s="19">
        <v>41284.25</v>
      </c>
      <c r="E31" s="18">
        <f>D31/D30</f>
        <v>0.194603926559664</v>
      </c>
      <c r="F31" s="23">
        <f>'Weekly-March'!D31</f>
        <v>113936.15</v>
      </c>
      <c r="G31" s="36">
        <f t="shared" ref="G31:K31" si="40">F31/F30</f>
        <v>0.285647328703588</v>
      </c>
      <c r="H31" s="23">
        <f>'Weekly-April'!F31</f>
        <v>8250</v>
      </c>
      <c r="I31" s="36">
        <f t="shared" si="40"/>
        <v>0.0692404532102392</v>
      </c>
      <c r="J31" s="23">
        <f>'Weekly-April'!G31</f>
        <v>0</v>
      </c>
      <c r="K31" s="36">
        <f t="shared" si="40"/>
        <v>0</v>
      </c>
      <c r="L31" s="23">
        <f>'Weekly-April'!J31</f>
        <v>0</v>
      </c>
      <c r="M31" s="36">
        <f t="shared" ref="M31:Q31" si="41">L31/L30</f>
        <v>0</v>
      </c>
      <c r="N31" s="23">
        <f>'Weekly-April'!L31</f>
        <v>0</v>
      </c>
      <c r="O31" s="36" t="e">
        <f t="shared" si="41"/>
        <v>#DIV/0!</v>
      </c>
      <c r="P31" s="23">
        <f>'Weekly-April'!N31</f>
        <v>0</v>
      </c>
      <c r="Q31" s="36" t="e">
        <f t="shared" si="41"/>
        <v>#DIV/0!</v>
      </c>
      <c r="R31" s="23">
        <f>'Weekly-April'!P31</f>
        <v>0</v>
      </c>
    </row>
    <row r="32" ht="20.25" spans="1:18">
      <c r="A32" s="1"/>
      <c r="B32" s="10" t="s">
        <v>157</v>
      </c>
      <c r="C32" s="11"/>
      <c r="D32" s="19">
        <v>26933</v>
      </c>
      <c r="E32" s="18">
        <f>D32/D30</f>
        <v>0.126955619976903</v>
      </c>
      <c r="F32" s="23">
        <f>'Weekly-March'!D32</f>
        <v>37488</v>
      </c>
      <c r="G32" s="36">
        <f t="shared" ref="G32:K32" si="42">F32/F30</f>
        <v>0.0939855090631033</v>
      </c>
      <c r="H32" s="23">
        <f>'Weekly-April'!F32</f>
        <v>6245</v>
      </c>
      <c r="I32" s="36">
        <f t="shared" si="42"/>
        <v>0.0524129248845992</v>
      </c>
      <c r="J32" s="23">
        <f>'Weekly-April'!G32</f>
        <v>0</v>
      </c>
      <c r="K32" s="36">
        <f t="shared" si="42"/>
        <v>0</v>
      </c>
      <c r="L32" s="23">
        <f>'Weekly-April'!J32</f>
        <v>7910</v>
      </c>
      <c r="M32" s="36">
        <f t="shared" ref="M32:Q32" si="43">L32/L30</f>
        <v>0.120994263862333</v>
      </c>
      <c r="N32" s="23">
        <f>'Weekly-April'!L32</f>
        <v>0</v>
      </c>
      <c r="O32" s="36" t="e">
        <f t="shared" si="43"/>
        <v>#DIV/0!</v>
      </c>
      <c r="P32" s="23">
        <f>'Weekly-April'!N32</f>
        <v>0</v>
      </c>
      <c r="Q32" s="36" t="e">
        <f t="shared" si="43"/>
        <v>#DIV/0!</v>
      </c>
      <c r="R32" s="23">
        <f>'Weekly-April'!P32</f>
        <v>0</v>
      </c>
    </row>
    <row r="33" ht="20.25" spans="1:18">
      <c r="A33" s="1"/>
      <c r="B33" s="10" t="s">
        <v>158</v>
      </c>
      <c r="C33" s="11"/>
      <c r="D33" s="19">
        <v>50000</v>
      </c>
      <c r="E33" s="18">
        <f>D33/D30</f>
        <v>0.235687855004832</v>
      </c>
      <c r="F33" s="23">
        <v>50000</v>
      </c>
      <c r="G33" s="36">
        <f t="shared" ref="G33:K33" si="44">F33/F30</f>
        <v>0.125354125404267</v>
      </c>
      <c r="H33" s="23">
        <v>50000</v>
      </c>
      <c r="I33" s="36">
        <f t="shared" si="44"/>
        <v>0.419639110365086</v>
      </c>
      <c r="J33" s="23">
        <v>50000</v>
      </c>
      <c r="K33" s="36">
        <f t="shared" si="44"/>
        <v>0.221351572702924</v>
      </c>
      <c r="L33" s="23">
        <v>50000</v>
      </c>
      <c r="M33" s="36">
        <f t="shared" ref="M33:Q33" si="45">L33/L30</f>
        <v>0.764818355640535</v>
      </c>
      <c r="N33" s="23">
        <v>50000</v>
      </c>
      <c r="O33" s="36" t="e">
        <f t="shared" si="45"/>
        <v>#DIV/0!</v>
      </c>
      <c r="P33" s="23">
        <v>50000</v>
      </c>
      <c r="Q33" s="36" t="e">
        <f t="shared" si="45"/>
        <v>#DIV/0!</v>
      </c>
      <c r="R33" s="23">
        <v>50000</v>
      </c>
    </row>
    <row r="34" ht="24.75" spans="1:18">
      <c r="A34" s="1"/>
      <c r="B34" s="10" t="s">
        <v>159</v>
      </c>
      <c r="C34" s="19">
        <v>58000</v>
      </c>
      <c r="D34" s="28">
        <v>58000</v>
      </c>
      <c r="E34" s="18">
        <f>D34/D30</f>
        <v>0.273397911805605</v>
      </c>
      <c r="F34" s="26">
        <v>58000</v>
      </c>
      <c r="G34" s="36">
        <f t="shared" ref="G34:K34" si="46">F34/F30</f>
        <v>0.14541078546895</v>
      </c>
      <c r="H34" s="26">
        <v>58000</v>
      </c>
      <c r="I34" s="36">
        <f t="shared" si="46"/>
        <v>0.4867813680235</v>
      </c>
      <c r="J34" s="26">
        <v>58000</v>
      </c>
      <c r="K34" s="36">
        <f t="shared" si="46"/>
        <v>0.256767824335392</v>
      </c>
      <c r="L34" s="26">
        <v>58000</v>
      </c>
      <c r="M34" s="36">
        <f t="shared" ref="M34:Q34" si="47">L34/L30</f>
        <v>0.887189292543021</v>
      </c>
      <c r="N34" s="26">
        <v>58000</v>
      </c>
      <c r="O34" s="36" t="e">
        <f t="shared" si="47"/>
        <v>#DIV/0!</v>
      </c>
      <c r="P34" s="26">
        <v>58000</v>
      </c>
      <c r="Q34" s="36" t="e">
        <f t="shared" si="47"/>
        <v>#DIV/0!</v>
      </c>
      <c r="R34" s="26">
        <v>58000</v>
      </c>
    </row>
    <row r="35" ht="20.25" spans="1:18">
      <c r="A35" s="7"/>
      <c r="B35" s="3" t="s">
        <v>160</v>
      </c>
      <c r="C35" s="46"/>
      <c r="D35" s="46">
        <f>SUM(D31:D34)</f>
        <v>176217.25</v>
      </c>
      <c r="E35" s="64">
        <f>D35/D30</f>
        <v>0.830645313347003</v>
      </c>
      <c r="F35" s="32">
        <f>SUM(F31:F34)</f>
        <v>259424.15</v>
      </c>
      <c r="G35" s="45">
        <f t="shared" ref="G35:K35" si="48">F35/F30</f>
        <v>0.650397748639908</v>
      </c>
      <c r="H35" s="32">
        <f t="shared" ref="H35:L35" si="49">SUM(H31:H34)</f>
        <v>122495</v>
      </c>
      <c r="I35" s="45">
        <f t="shared" si="48"/>
        <v>1.02807385648342</v>
      </c>
      <c r="J35" s="32">
        <f t="shared" si="49"/>
        <v>108000</v>
      </c>
      <c r="K35" s="45">
        <f t="shared" si="48"/>
        <v>0.478119397038316</v>
      </c>
      <c r="L35" s="32">
        <f t="shared" si="49"/>
        <v>115910</v>
      </c>
      <c r="M35" s="45">
        <f t="shared" ref="M35:Q35" si="50">L35/L30</f>
        <v>1.77300191204589</v>
      </c>
      <c r="N35" s="32">
        <f t="shared" ref="N35:R35" si="51">SUM(N31:N34)</f>
        <v>108000</v>
      </c>
      <c r="O35" s="45" t="e">
        <f t="shared" si="50"/>
        <v>#DIV/0!</v>
      </c>
      <c r="P35" s="32">
        <f t="shared" si="51"/>
        <v>108000</v>
      </c>
      <c r="Q35" s="45" t="e">
        <f t="shared" si="50"/>
        <v>#DIV/0!</v>
      </c>
      <c r="R35" s="32">
        <f t="shared" si="51"/>
        <v>108000</v>
      </c>
    </row>
    <row r="36" ht="20.25" spans="1:18">
      <c r="A36" s="1"/>
      <c r="B36" s="33" t="s">
        <v>161</v>
      </c>
      <c r="C36" s="33"/>
      <c r="D36" s="19">
        <f>D30-D35</f>
        <v>35927.75</v>
      </c>
      <c r="E36" s="18">
        <f>D36/D30</f>
        <v>0.169354686652997</v>
      </c>
      <c r="F36" s="19">
        <f>'Weekly-March'!D36</f>
        <v>139445.85</v>
      </c>
      <c r="G36" s="36">
        <f t="shared" ref="G36:K36" si="52">F36/F30</f>
        <v>0.349602251360092</v>
      </c>
      <c r="H36" s="19">
        <f>'Weekly-April'!F36</f>
        <v>90155</v>
      </c>
      <c r="I36" s="36">
        <f t="shared" si="52"/>
        <v>0.756651279899287</v>
      </c>
      <c r="J36" s="19">
        <f>'Weekly-April'!G36</f>
        <v>0</v>
      </c>
      <c r="K36" s="36">
        <f t="shared" si="52"/>
        <v>0</v>
      </c>
      <c r="L36" s="19">
        <f>'Weekly-April'!J36</f>
        <v>42965</v>
      </c>
      <c r="M36" s="36">
        <f t="shared" ref="M36:Q36" si="53">L36/L30</f>
        <v>0.657208413001912</v>
      </c>
      <c r="N36" s="19">
        <f>'Weekly-April'!L36</f>
        <v>0</v>
      </c>
      <c r="O36" s="36" t="e">
        <f t="shared" si="53"/>
        <v>#DIV/0!</v>
      </c>
      <c r="P36" s="19">
        <f>'Weekly-April'!N36</f>
        <v>0</v>
      </c>
      <c r="Q36" s="36" t="e">
        <f t="shared" si="53"/>
        <v>#DIV/0!</v>
      </c>
      <c r="R36" s="19">
        <f>'Weekly-April'!P36</f>
        <v>0</v>
      </c>
    </row>
    <row r="37" ht="24.75" spans="1:18">
      <c r="A37" s="1"/>
      <c r="B37" s="38" t="s">
        <v>162</v>
      </c>
      <c r="C37" s="11"/>
      <c r="D37" s="28">
        <f>D30*0.45</f>
        <v>95465.25</v>
      </c>
      <c r="E37" s="18"/>
      <c r="F37" s="26">
        <f>F30*0.45</f>
        <v>179491.5</v>
      </c>
      <c r="G37" s="36">
        <f t="shared" ref="G37:K37" si="54">F37/F30</f>
        <v>0.45</v>
      </c>
      <c r="H37" s="26">
        <f t="shared" ref="H37:L37" si="55">H30*0.45</f>
        <v>53617.5</v>
      </c>
      <c r="I37" s="36">
        <f t="shared" si="54"/>
        <v>0.45</v>
      </c>
      <c r="J37" s="26">
        <f t="shared" si="55"/>
        <v>101648.25</v>
      </c>
      <c r="K37" s="36">
        <f t="shared" si="54"/>
        <v>0.45</v>
      </c>
      <c r="L37" s="26">
        <f t="shared" si="55"/>
        <v>29418.75</v>
      </c>
      <c r="M37" s="36">
        <f t="shared" ref="M37:Q37" si="56">L37/L30</f>
        <v>0.45</v>
      </c>
      <c r="N37" s="26">
        <f t="shared" ref="N37:R37" si="57">N30*0.45</f>
        <v>0</v>
      </c>
      <c r="O37" s="36" t="e">
        <f t="shared" si="56"/>
        <v>#DIV/0!</v>
      </c>
      <c r="P37" s="26">
        <f t="shared" si="57"/>
        <v>0</v>
      </c>
      <c r="Q37" s="36" t="e">
        <f t="shared" si="56"/>
        <v>#DIV/0!</v>
      </c>
      <c r="R37" s="26">
        <f t="shared" si="57"/>
        <v>0</v>
      </c>
    </row>
    <row r="38" ht="20.25" spans="1:18">
      <c r="A38" s="8"/>
      <c r="B38" s="47" t="s">
        <v>163</v>
      </c>
      <c r="C38" s="49"/>
      <c r="D38" s="65">
        <f>D36-D37</f>
        <v>-59537.5</v>
      </c>
      <c r="E38" s="66"/>
      <c r="F38" s="4">
        <f>SUM(F36-F37)</f>
        <v>-40045.65</v>
      </c>
      <c r="G38" s="48"/>
      <c r="H38" s="4">
        <f t="shared" ref="H38:L38" si="58">SUM(H36-H37)</f>
        <v>36537.5</v>
      </c>
      <c r="I38" s="48"/>
      <c r="J38" s="4">
        <f t="shared" si="58"/>
        <v>-101648.25</v>
      </c>
      <c r="K38" s="48"/>
      <c r="L38" s="4">
        <f t="shared" si="58"/>
        <v>13546.25</v>
      </c>
      <c r="M38" s="48"/>
      <c r="N38" s="4">
        <f t="shared" ref="N38:R38" si="59">SUM(N36-N37)</f>
        <v>0</v>
      </c>
      <c r="O38" s="48"/>
      <c r="P38" s="4">
        <f t="shared" si="59"/>
        <v>0</v>
      </c>
      <c r="Q38" s="48"/>
      <c r="R38" s="4">
        <f t="shared" si="59"/>
        <v>0</v>
      </c>
    </row>
    <row r="39" ht="20.25" spans="1:18">
      <c r="A39" s="1"/>
      <c r="B39" s="1"/>
      <c r="C39" s="11"/>
      <c r="D39" s="11"/>
      <c r="E39" s="18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ht="20.25" spans="1:18">
      <c r="A40" s="40" t="s">
        <v>30</v>
      </c>
      <c r="B40" s="40" t="s">
        <v>156</v>
      </c>
      <c r="C40" s="55">
        <v>168200</v>
      </c>
      <c r="D40" s="55">
        <v>272230</v>
      </c>
      <c r="E40" s="63"/>
      <c r="F40" s="21">
        <f>'Weekly-March'!D40</f>
        <v>275905</v>
      </c>
      <c r="G40" s="41"/>
      <c r="H40" s="21">
        <f>'Weekly-April'!F40</f>
        <v>92050</v>
      </c>
      <c r="I40" s="41"/>
      <c r="J40" s="21">
        <f>'Weekly-May'!D40</f>
        <v>270620</v>
      </c>
      <c r="K40" s="41"/>
      <c r="L40" s="21">
        <f>'Weekly-April'!J40</f>
        <v>52960</v>
      </c>
      <c r="M40" s="41"/>
      <c r="N40" s="21">
        <f>'Weekly-April'!L40</f>
        <v>0</v>
      </c>
      <c r="O40" s="41"/>
      <c r="P40" s="21">
        <f>'Weekly-April'!N40</f>
        <v>0</v>
      </c>
      <c r="Q40" s="41"/>
      <c r="R40" s="21">
        <f>'Weekly-April'!P40</f>
        <v>0</v>
      </c>
    </row>
    <row r="41" ht="20.25" spans="1:18">
      <c r="A41" s="1"/>
      <c r="B41" s="10" t="s">
        <v>0</v>
      </c>
      <c r="C41" s="11"/>
      <c r="D41" s="19">
        <v>51106.4</v>
      </c>
      <c r="E41" s="18">
        <f>D41/D40</f>
        <v>0.187732432134592</v>
      </c>
      <c r="F41" s="23">
        <f>-'Weekly-March'!D41</f>
        <v>-63508.75</v>
      </c>
      <c r="G41" s="36">
        <f t="shared" ref="G41:K41" si="60">F41/F40</f>
        <v>-0.230183396458926</v>
      </c>
      <c r="H41" s="23">
        <f>-'Weekly-April'!F41</f>
        <v>0</v>
      </c>
      <c r="I41" s="36">
        <f t="shared" si="60"/>
        <v>0</v>
      </c>
      <c r="J41" s="23">
        <f>-'Weekly-April'!G41</f>
        <v>0</v>
      </c>
      <c r="K41" s="36">
        <f t="shared" si="60"/>
        <v>0</v>
      </c>
      <c r="L41" s="23">
        <f>-'Weekly-April'!J41</f>
        <v>-20392</v>
      </c>
      <c r="M41" s="36">
        <f t="shared" ref="M41:Q41" si="61">L41/L40</f>
        <v>-0.385045317220544</v>
      </c>
      <c r="N41" s="23">
        <f>-'Weekly-April'!L41</f>
        <v>0</v>
      </c>
      <c r="O41" s="36" t="e">
        <f t="shared" si="61"/>
        <v>#DIV/0!</v>
      </c>
      <c r="P41" s="23">
        <f>-'Weekly-April'!N41</f>
        <v>0</v>
      </c>
      <c r="Q41" s="36" t="e">
        <f t="shared" si="61"/>
        <v>#DIV/0!</v>
      </c>
      <c r="R41" s="23">
        <f>-'Weekly-April'!P41</f>
        <v>0</v>
      </c>
    </row>
    <row r="42" ht="20.25" spans="1:18">
      <c r="A42" s="1"/>
      <c r="B42" s="10" t="s">
        <v>157</v>
      </c>
      <c r="C42" s="11"/>
      <c r="D42" s="19">
        <v>26295</v>
      </c>
      <c r="E42" s="18">
        <f>D42/D40</f>
        <v>0.0965911178047974</v>
      </c>
      <c r="F42" s="23">
        <f>'Weekly-March'!D43</f>
        <v>50000</v>
      </c>
      <c r="G42" s="36">
        <f t="shared" ref="G42:K42" si="62">F42/F40</f>
        <v>0.181221797357786</v>
      </c>
      <c r="H42" s="23">
        <f>'Weekly-April'!F43</f>
        <v>12500</v>
      </c>
      <c r="I42" s="36">
        <f t="shared" si="62"/>
        <v>0.135795763172189</v>
      </c>
      <c r="J42" s="23">
        <f>'Weekly-April'!G43</f>
        <v>0</v>
      </c>
      <c r="K42" s="36">
        <f t="shared" si="62"/>
        <v>0</v>
      </c>
      <c r="L42" s="23">
        <f>'Weekly-April'!J43</f>
        <v>12500</v>
      </c>
      <c r="M42" s="36">
        <f t="shared" ref="M42:Q42" si="63">L42/L40</f>
        <v>0.236027190332326</v>
      </c>
      <c r="N42" s="23">
        <f>'Weekly-April'!L43</f>
        <v>0</v>
      </c>
      <c r="O42" s="36" t="e">
        <f t="shared" si="63"/>
        <v>#DIV/0!</v>
      </c>
      <c r="P42" s="23">
        <f>'Weekly-April'!N43</f>
        <v>0</v>
      </c>
      <c r="Q42" s="36" t="e">
        <f t="shared" si="63"/>
        <v>#DIV/0!</v>
      </c>
      <c r="R42" s="23">
        <f>'Weekly-April'!P43</f>
        <v>0</v>
      </c>
    </row>
    <row r="43" ht="20.25" spans="1:18">
      <c r="A43" s="1"/>
      <c r="B43" s="10" t="s">
        <v>158</v>
      </c>
      <c r="C43" s="11"/>
      <c r="D43" s="19">
        <v>50000</v>
      </c>
      <c r="E43" s="18">
        <f>D43/D40</f>
        <v>0.183668221724277</v>
      </c>
      <c r="F43" s="23">
        <f>'Weekly-March'!D43</f>
        <v>50000</v>
      </c>
      <c r="G43" s="36">
        <f t="shared" ref="G43:K43" si="64">F43/F40</f>
        <v>0.181221797357786</v>
      </c>
      <c r="H43" s="23">
        <f>'Weekly-April'!F43</f>
        <v>12500</v>
      </c>
      <c r="I43" s="36">
        <f t="shared" si="64"/>
        <v>0.135795763172189</v>
      </c>
      <c r="J43" s="23">
        <f>'Weekly-April'!G43</f>
        <v>0</v>
      </c>
      <c r="K43" s="36">
        <f t="shared" si="64"/>
        <v>0</v>
      </c>
      <c r="L43" s="23">
        <f>'Weekly-April'!J43</f>
        <v>12500</v>
      </c>
      <c r="M43" s="36">
        <f t="shared" ref="M43:Q43" si="65">L43/L40</f>
        <v>0.236027190332326</v>
      </c>
      <c r="N43" s="23">
        <f>'Weekly-April'!L43</f>
        <v>0</v>
      </c>
      <c r="O43" s="36" t="e">
        <f t="shared" si="65"/>
        <v>#DIV/0!</v>
      </c>
      <c r="P43" s="23">
        <f>'Weekly-April'!N43</f>
        <v>0</v>
      </c>
      <c r="Q43" s="36" t="e">
        <f t="shared" si="65"/>
        <v>#DIV/0!</v>
      </c>
      <c r="R43" s="23">
        <f>'Weekly-April'!P43</f>
        <v>0</v>
      </c>
    </row>
    <row r="44" ht="24.75" spans="1:18">
      <c r="A44" s="1"/>
      <c r="B44" s="10" t="s">
        <v>159</v>
      </c>
      <c r="C44" s="19">
        <v>58000</v>
      </c>
      <c r="D44" s="28">
        <v>58000</v>
      </c>
      <c r="E44" s="18">
        <f>D44/D40</f>
        <v>0.213055137200162</v>
      </c>
      <c r="F44" s="26">
        <f>'Weekly-March'!J44</f>
        <v>14500</v>
      </c>
      <c r="G44" s="36">
        <f t="shared" ref="G44:K44" si="66">F44/F40</f>
        <v>0.052554321233758</v>
      </c>
      <c r="H44" s="26">
        <f>'Weekly-April'!L44</f>
        <v>0</v>
      </c>
      <c r="I44" s="36">
        <f t="shared" si="66"/>
        <v>0</v>
      </c>
      <c r="J44" s="26">
        <f>'Weekly-April'!M44</f>
        <v>0</v>
      </c>
      <c r="K44" s="36">
        <f t="shared" si="66"/>
        <v>0</v>
      </c>
      <c r="L44" s="26">
        <f>'Weekly-April'!P44</f>
        <v>0</v>
      </c>
      <c r="M44" s="36">
        <f t="shared" ref="M44:Q44" si="67">L44/L40</f>
        <v>0</v>
      </c>
      <c r="N44" s="26">
        <f>'Weekly-April'!R44</f>
        <v>0</v>
      </c>
      <c r="O44" s="36" t="e">
        <f t="shared" si="67"/>
        <v>#DIV/0!</v>
      </c>
      <c r="P44" s="26">
        <f>'Weekly-April'!T44</f>
        <v>0</v>
      </c>
      <c r="Q44" s="36" t="e">
        <f t="shared" si="67"/>
        <v>#DIV/0!</v>
      </c>
      <c r="R44" s="26">
        <f>'Weekly-April'!V44</f>
        <v>0</v>
      </c>
    </row>
    <row r="45" ht="20.25" spans="1:18">
      <c r="A45" s="3"/>
      <c r="B45" s="3" t="s">
        <v>160</v>
      </c>
      <c r="C45" s="32"/>
      <c r="D45" s="32">
        <f>SUM(D41:D44)</f>
        <v>185401.4</v>
      </c>
      <c r="E45" s="61">
        <f>D45/D40</f>
        <v>0.681046908863828</v>
      </c>
      <c r="F45" s="32">
        <f>'Weekly-March'!D44</f>
        <v>58000</v>
      </c>
      <c r="G45" s="32">
        <f t="shared" ref="G45:K45" si="68">F45/F40</f>
        <v>0.210217284935032</v>
      </c>
      <c r="H45" s="32">
        <f>'Weekly-April'!F44</f>
        <v>14500</v>
      </c>
      <c r="I45" s="32">
        <f t="shared" si="68"/>
        <v>0.157523085279739</v>
      </c>
      <c r="J45" s="32">
        <f>'Weekly-April'!G44</f>
        <v>0</v>
      </c>
      <c r="K45" s="32">
        <f t="shared" si="68"/>
        <v>0</v>
      </c>
      <c r="L45" s="32">
        <f>'Weekly-April'!J44</f>
        <v>14500</v>
      </c>
      <c r="M45" s="32">
        <f t="shared" ref="M45:Q45" si="69">L45/L40</f>
        <v>0.273791540785498</v>
      </c>
      <c r="N45" s="32">
        <f>'Weekly-April'!L44</f>
        <v>0</v>
      </c>
      <c r="O45" s="32" t="e">
        <f t="shared" si="69"/>
        <v>#DIV/0!</v>
      </c>
      <c r="P45" s="32">
        <f>'Weekly-April'!N44</f>
        <v>0</v>
      </c>
      <c r="Q45" s="32" t="e">
        <f t="shared" si="69"/>
        <v>#DIV/0!</v>
      </c>
      <c r="R45" s="32">
        <f>'Weekly-April'!P44</f>
        <v>0</v>
      </c>
    </row>
    <row r="46" ht="20.25" spans="1:18">
      <c r="A46" s="1"/>
      <c r="B46" s="33" t="s">
        <v>161</v>
      </c>
      <c r="C46" s="33"/>
      <c r="D46" s="19">
        <v>136828.6</v>
      </c>
      <c r="E46" s="18">
        <f>D46/D40</f>
        <v>0.502621312860449</v>
      </c>
      <c r="F46" s="23">
        <f>F40-F45</f>
        <v>217905</v>
      </c>
      <c r="G46" s="71">
        <f t="shared" ref="G46:K46" si="70">F46/F40</f>
        <v>0.789782715064968</v>
      </c>
      <c r="H46" s="23">
        <f t="shared" ref="H46:L46" si="71">H40-H45</f>
        <v>77550</v>
      </c>
      <c r="I46" s="71">
        <f t="shared" si="70"/>
        <v>0.842476914720261</v>
      </c>
      <c r="J46" s="23">
        <f t="shared" si="71"/>
        <v>270620</v>
      </c>
      <c r="K46" s="71">
        <f t="shared" si="70"/>
        <v>1</v>
      </c>
      <c r="L46" s="23">
        <f t="shared" si="71"/>
        <v>38460</v>
      </c>
      <c r="M46" s="71">
        <f t="shared" ref="M46:Q46" si="72">L46/L40</f>
        <v>0.726208459214502</v>
      </c>
      <c r="N46" s="23">
        <f t="shared" ref="N46:R46" si="73">N40-N45</f>
        <v>0</v>
      </c>
      <c r="O46" s="71" t="e">
        <f t="shared" si="72"/>
        <v>#DIV/0!</v>
      </c>
      <c r="P46" s="23">
        <f t="shared" si="73"/>
        <v>0</v>
      </c>
      <c r="Q46" s="71" t="e">
        <f t="shared" si="72"/>
        <v>#DIV/0!</v>
      </c>
      <c r="R46" s="23">
        <f t="shared" si="73"/>
        <v>0</v>
      </c>
    </row>
    <row r="47" ht="20.25" spans="1:18">
      <c r="A47" s="1"/>
      <c r="B47" s="38" t="s">
        <v>162</v>
      </c>
      <c r="C47" s="11"/>
      <c r="D47" s="11">
        <f>D40*0.45</f>
        <v>122503.5</v>
      </c>
      <c r="E47" s="18">
        <f>D47/D40</f>
        <v>0.45</v>
      </c>
      <c r="F47" s="11">
        <f>F40*0.45</f>
        <v>124157.25</v>
      </c>
      <c r="G47" s="11">
        <f t="shared" ref="G47:K47" si="74">F47/F40</f>
        <v>0.45</v>
      </c>
      <c r="H47" s="11">
        <f t="shared" ref="H47:L47" si="75">H40*0.45</f>
        <v>41422.5</v>
      </c>
      <c r="I47" s="11">
        <f t="shared" si="74"/>
        <v>0.45</v>
      </c>
      <c r="J47" s="11">
        <f t="shared" si="75"/>
        <v>121779</v>
      </c>
      <c r="K47" s="11">
        <f t="shared" si="74"/>
        <v>0.45</v>
      </c>
      <c r="L47" s="11">
        <f t="shared" si="75"/>
        <v>23832</v>
      </c>
      <c r="M47" s="11">
        <f t="shared" ref="M47:Q47" si="76">L47/L40</f>
        <v>0.45</v>
      </c>
      <c r="N47" s="11">
        <f t="shared" ref="N47:R47" si="77">N40*0.45</f>
        <v>0</v>
      </c>
      <c r="O47" s="11" t="e">
        <f t="shared" si="76"/>
        <v>#DIV/0!</v>
      </c>
      <c r="P47" s="11">
        <f t="shared" si="77"/>
        <v>0</v>
      </c>
      <c r="Q47" s="11" t="e">
        <f t="shared" si="76"/>
        <v>#DIV/0!</v>
      </c>
      <c r="R47" s="11">
        <f t="shared" si="77"/>
        <v>0</v>
      </c>
    </row>
    <row r="48" ht="20.25" spans="1:18">
      <c r="A48" s="8"/>
      <c r="B48" s="47" t="s">
        <v>163</v>
      </c>
      <c r="C48" s="49"/>
      <c r="D48" s="49">
        <f>D46-D47</f>
        <v>14325.1</v>
      </c>
      <c r="E48" s="66"/>
      <c r="F48" s="49">
        <f>F46-F47</f>
        <v>93747.75</v>
      </c>
      <c r="G48" s="49">
        <f t="shared" ref="G48:K48" si="78">F48/F40</f>
        <v>0.339782715064968</v>
      </c>
      <c r="H48" s="49">
        <f t="shared" ref="H48:L48" si="79">H46-H47</f>
        <v>36127.5</v>
      </c>
      <c r="I48" s="49">
        <f t="shared" si="78"/>
        <v>0.392476914720261</v>
      </c>
      <c r="J48" s="49">
        <f t="shared" si="79"/>
        <v>148841</v>
      </c>
      <c r="K48" s="49">
        <f t="shared" si="78"/>
        <v>0.55</v>
      </c>
      <c r="L48" s="49">
        <f t="shared" si="79"/>
        <v>14628</v>
      </c>
      <c r="M48" s="49">
        <f t="shared" ref="M48:Q48" si="80">L48/L40</f>
        <v>0.276208459214501</v>
      </c>
      <c r="N48" s="49">
        <f t="shared" ref="N48:R48" si="81">N46-N47</f>
        <v>0</v>
      </c>
      <c r="O48" s="49" t="e">
        <f t="shared" si="80"/>
        <v>#DIV/0!</v>
      </c>
      <c r="P48" s="49">
        <f t="shared" si="81"/>
        <v>0</v>
      </c>
      <c r="Q48" s="49" t="e">
        <f t="shared" si="80"/>
        <v>#DIV/0!</v>
      </c>
      <c r="R48" s="49">
        <f t="shared" si="81"/>
        <v>0</v>
      </c>
    </row>
    <row r="49" ht="20.25" spans="1:18">
      <c r="A49" s="1"/>
      <c r="B49" s="1"/>
      <c r="C49" s="11"/>
      <c r="D49" s="11"/>
      <c r="E49" s="18"/>
      <c r="F49" s="11"/>
      <c r="G49" s="11"/>
      <c r="H49" s="17"/>
      <c r="I49" s="17"/>
      <c r="J49" s="17"/>
      <c r="K49" s="11"/>
      <c r="L49" s="17"/>
      <c r="M49" s="11"/>
      <c r="N49" s="17"/>
      <c r="O49" s="11"/>
      <c r="P49" s="17"/>
      <c r="Q49" s="11"/>
      <c r="R49" s="17"/>
    </row>
    <row r="50" ht="20.25" spans="1:18">
      <c r="A50" s="1"/>
      <c r="B50" s="50" t="s">
        <v>164</v>
      </c>
      <c r="C50" s="11"/>
      <c r="D50" s="11">
        <f>D16+D26+D36+D46</f>
        <v>330489.95</v>
      </c>
      <c r="E50" s="18"/>
      <c r="F50" s="11">
        <f>F16+F26+F36+F46</f>
        <v>539594.65</v>
      </c>
      <c r="G50" s="11"/>
      <c r="H50" s="11">
        <f t="shared" ref="H50:L50" si="82">H16+H26+H36+H46</f>
        <v>151992</v>
      </c>
      <c r="I50" s="11"/>
      <c r="J50" s="11">
        <f t="shared" si="82"/>
        <v>199610.419754015</v>
      </c>
      <c r="K50" s="11"/>
      <c r="L50" s="11">
        <f t="shared" si="82"/>
        <v>8020</v>
      </c>
      <c r="M50" s="11"/>
      <c r="N50" s="11">
        <f t="shared" ref="N50:R50" si="83">N16+N26+N36+N46</f>
        <v>-51307</v>
      </c>
      <c r="O50" s="11"/>
      <c r="P50" s="11">
        <f t="shared" si="83"/>
        <v>-108000</v>
      </c>
      <c r="Q50" s="11"/>
      <c r="R50" s="11">
        <f t="shared" si="83"/>
        <v>-108000</v>
      </c>
    </row>
    <row r="51" ht="20.25" spans="1:18">
      <c r="A51" s="1"/>
      <c r="B51" s="51" t="s">
        <v>165</v>
      </c>
      <c r="C51" s="11"/>
      <c r="D51" s="11"/>
      <c r="E51" s="18"/>
      <c r="F51" s="11">
        <v>160000</v>
      </c>
      <c r="G51" s="11"/>
      <c r="H51" s="11">
        <v>160000</v>
      </c>
      <c r="I51" s="11"/>
      <c r="J51" s="11">
        <v>160000</v>
      </c>
      <c r="K51" s="11"/>
      <c r="L51" s="11">
        <v>160000</v>
      </c>
      <c r="M51" s="11"/>
      <c r="N51" s="11">
        <v>160000</v>
      </c>
      <c r="O51" s="11"/>
      <c r="P51" s="11">
        <v>160000</v>
      </c>
      <c r="Q51" s="11"/>
      <c r="R51" s="11">
        <v>160000</v>
      </c>
    </row>
    <row r="52" ht="20.25" spans="1:18">
      <c r="A52" s="1"/>
      <c r="B52" s="52" t="s">
        <v>166</v>
      </c>
      <c r="C52" s="11"/>
      <c r="D52" s="11"/>
      <c r="E52" s="18"/>
      <c r="F52" s="11">
        <f>F50-F51</f>
        <v>379594.65</v>
      </c>
      <c r="G52" s="11"/>
      <c r="H52" s="11">
        <f t="shared" ref="H52:L52" si="84">H50-H51</f>
        <v>-8008</v>
      </c>
      <c r="I52" s="11"/>
      <c r="J52" s="11">
        <f t="shared" si="84"/>
        <v>39610.4197540153</v>
      </c>
      <c r="K52" s="11"/>
      <c r="L52" s="11">
        <f t="shared" si="84"/>
        <v>-151980</v>
      </c>
      <c r="M52" s="11"/>
      <c r="N52" s="11">
        <f t="shared" ref="N52:R52" si="85">N50-N51</f>
        <v>-211307</v>
      </c>
      <c r="O52" s="11"/>
      <c r="P52" s="11">
        <f t="shared" si="85"/>
        <v>-268000</v>
      </c>
      <c r="Q52" s="11"/>
      <c r="R52" s="11">
        <f t="shared" si="85"/>
        <v>-268000</v>
      </c>
    </row>
    <row r="53" ht="20.25" spans="1:18">
      <c r="A53" s="1"/>
      <c r="B53" s="10"/>
      <c r="C53" s="11"/>
      <c r="D53" s="11"/>
      <c r="E53" s="18"/>
      <c r="F53" s="11"/>
      <c r="G53" s="11"/>
    </row>
    <row r="54" ht="20.25" spans="1:18">
      <c r="A54" s="53"/>
      <c r="B54" s="1" t="s">
        <v>167</v>
      </c>
      <c r="C54" s="11"/>
      <c r="D54" s="11"/>
      <c r="E54" s="18"/>
      <c r="F54" s="11"/>
      <c r="G54" s="11"/>
    </row>
    <row r="55" ht="20.25" spans="1:18">
      <c r="A55" s="54"/>
      <c r="B55" s="1" t="s">
        <v>168</v>
      </c>
      <c r="C55" s="11"/>
      <c r="D55" s="11"/>
      <c r="E55" s="18"/>
      <c r="F55" s="11"/>
      <c r="G55" s="11"/>
    </row>
    <row r="56" ht="20.25" spans="1:18">
      <c r="A56" s="8"/>
      <c r="B56" s="1" t="s">
        <v>169</v>
      </c>
      <c r="C56" s="11"/>
      <c r="D56" s="11"/>
      <c r="E56" s="18"/>
      <c r="F56" s="11"/>
      <c r="G56" s="11"/>
    </row>
  </sheetData>
  <mergeCells count="4">
    <mergeCell ref="B16:C16"/>
    <mergeCell ref="B26:C26"/>
    <mergeCell ref="B36:C36"/>
    <mergeCell ref="B46:C46"/>
  </mergeCells>
  <pageMargins left="1" right="1" top="1" bottom="1" header="0.5" footer="0.5"/>
  <pageSetup paperSize="9" scale="66" fitToHeight="0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workbookViewId="0">
      <selection activeCell="J14" sqref="J14"/>
    </sheetView>
  </sheetViews>
  <sheetFormatPr defaultColWidth="9" defaultRowHeight="14.25"/>
  <cols>
    <col min="1" max="1" width="15" customWidth="1"/>
    <col min="2" max="2" width="41" customWidth="1"/>
    <col min="3" max="3" width="19.75" customWidth="1"/>
    <col min="4" max="4" width="11" customWidth="1"/>
    <col min="5" max="5" width="18" customWidth="1"/>
    <col min="7" max="7" width="15" customWidth="1"/>
    <col min="9" max="9" width="14.875" customWidth="1"/>
    <col min="10" max="10" width="16.625" customWidth="1"/>
  </cols>
  <sheetData>
    <row r="1" spans="1:10">
      <c r="C1" s="9"/>
      <c r="D1" s="9"/>
      <c r="E1" s="9"/>
      <c r="F1" s="9"/>
      <c r="G1" s="9"/>
      <c r="H1" s="9"/>
      <c r="I1" s="9"/>
    </row>
    <row r="2" ht="20.25" spans="1:10">
      <c r="A2" s="10" t="s">
        <v>140</v>
      </c>
      <c r="B2" s="1"/>
      <c r="C2" s="11"/>
      <c r="D2" s="11"/>
      <c r="E2" s="11"/>
      <c r="F2" s="11"/>
      <c r="G2" s="11"/>
      <c r="H2" s="11"/>
      <c r="I2" s="11"/>
      <c r="J2" s="1"/>
    </row>
    <row r="3" ht="20.25" spans="1:10">
      <c r="A3" s="10" t="s">
        <v>170</v>
      </c>
      <c r="B3" s="1"/>
      <c r="C3" s="11"/>
      <c r="D3" s="11"/>
      <c r="E3" s="11"/>
      <c r="F3" s="11"/>
      <c r="G3" s="11"/>
      <c r="H3" s="11"/>
      <c r="I3" s="11"/>
      <c r="J3" s="1"/>
    </row>
    <row r="4" ht="20.25" spans="1:10">
      <c r="A4" s="10" t="s">
        <v>171</v>
      </c>
      <c r="B4" s="1"/>
      <c r="C4" s="11"/>
      <c r="D4" s="11"/>
      <c r="E4" s="11"/>
      <c r="F4" s="11"/>
      <c r="G4" s="11"/>
      <c r="H4" s="11"/>
      <c r="I4" s="11"/>
      <c r="J4" s="1"/>
    </row>
    <row r="5" ht="20.25" spans="1:10">
      <c r="A5" s="10" t="s">
        <v>143</v>
      </c>
      <c r="B5" s="1"/>
      <c r="C5" s="11"/>
      <c r="D5" s="11"/>
      <c r="E5" s="11"/>
      <c r="F5" s="11"/>
      <c r="G5" s="11"/>
      <c r="H5" s="11"/>
      <c r="I5" s="11"/>
      <c r="J5" s="1"/>
    </row>
    <row r="6" ht="20.25" spans="1:10">
      <c r="A6" s="10" t="s">
        <v>172</v>
      </c>
      <c r="B6" s="1"/>
      <c r="C6" s="11"/>
      <c r="D6" s="11"/>
      <c r="E6" s="11"/>
      <c r="F6" s="11"/>
      <c r="G6" s="11"/>
      <c r="H6" s="11"/>
      <c r="I6" s="11"/>
      <c r="J6" s="1"/>
    </row>
    <row r="7" ht="20.25" spans="1:10">
      <c r="A7" s="1"/>
      <c r="B7" s="1"/>
      <c r="C7" s="11"/>
      <c r="D7" s="11"/>
      <c r="E7" s="11"/>
      <c r="F7" s="11"/>
      <c r="G7" s="11"/>
      <c r="H7" s="11"/>
      <c r="I7" s="11"/>
      <c r="J7" s="1"/>
    </row>
    <row r="8" ht="40.5" spans="1:10">
      <c r="A8" s="10" t="s">
        <v>144</v>
      </c>
      <c r="B8" s="12"/>
      <c r="C8" s="67" t="s">
        <v>145</v>
      </c>
      <c r="D8" s="11"/>
      <c r="E8" s="13" t="s">
        <v>173</v>
      </c>
      <c r="F8" s="14"/>
      <c r="G8" s="15" t="s">
        <v>173</v>
      </c>
      <c r="H8" s="15"/>
      <c r="I8" s="16" t="s">
        <v>173</v>
      </c>
      <c r="J8" s="34"/>
    </row>
    <row r="9" ht="20.25" spans="1:10">
      <c r="A9" s="1"/>
      <c r="B9" s="1"/>
      <c r="C9" s="106" t="s">
        <v>146</v>
      </c>
      <c r="D9" s="18" t="s">
        <v>148</v>
      </c>
      <c r="E9" s="11" t="s">
        <v>174</v>
      </c>
      <c r="F9" s="11"/>
      <c r="G9" s="19" t="s">
        <v>175</v>
      </c>
      <c r="H9" s="11"/>
      <c r="I9" s="19" t="s">
        <v>176</v>
      </c>
      <c r="J9" s="1" t="s">
        <v>177</v>
      </c>
    </row>
    <row r="10" ht="20.25" spans="1:10">
      <c r="A10" s="2" t="s">
        <v>4</v>
      </c>
      <c r="B10" s="2" t="s">
        <v>156</v>
      </c>
      <c r="C10" s="20">
        <v>23469</v>
      </c>
      <c r="D10" s="20"/>
      <c r="E10" s="20"/>
      <c r="F10" s="21"/>
      <c r="G10" s="21"/>
      <c r="H10" s="21"/>
      <c r="I10" s="21"/>
      <c r="J10" s="2"/>
    </row>
    <row r="11" ht="20.25" spans="1:10">
      <c r="A11" s="1"/>
      <c r="B11" s="10" t="s">
        <v>0</v>
      </c>
      <c r="C11" s="68">
        <f t="shared" ref="C11:C12" si="0">SUM(E11:J11)</f>
        <v>53911.1</v>
      </c>
      <c r="D11" s="23">
        <f>C11/C10</f>
        <v>2.29711960458477</v>
      </c>
      <c r="E11" s="24">
        <f>Jan!D5</f>
        <v>18414</v>
      </c>
      <c r="F11" s="11"/>
      <c r="G11" s="11">
        <f>Jan!D6</f>
        <v>12086</v>
      </c>
      <c r="H11" s="11"/>
      <c r="I11" s="11">
        <f>Jan!D8</f>
        <v>12526</v>
      </c>
      <c r="J11" s="60">
        <f>Jan!D9</f>
        <v>10885.1</v>
      </c>
    </row>
    <row r="12" ht="20.25" spans="1:10">
      <c r="A12" s="1"/>
      <c r="B12" s="10" t="s">
        <v>157</v>
      </c>
      <c r="C12" s="68">
        <f t="shared" si="0"/>
        <v>43820</v>
      </c>
      <c r="D12" s="23">
        <f>C12/C10</f>
        <v>1.86714389194256</v>
      </c>
      <c r="E12" s="24">
        <f>Jan!F5</f>
        <v>11220</v>
      </c>
      <c r="F12" s="11"/>
      <c r="G12" s="11">
        <f>Jan!F6</f>
        <v>12770</v>
      </c>
      <c r="H12" s="11"/>
      <c r="I12" s="11">
        <f>Jan!F7</f>
        <v>10545</v>
      </c>
      <c r="J12" s="60">
        <f>Jan!F8</f>
        <v>9285</v>
      </c>
    </row>
    <row r="13" ht="20.25" spans="1:10">
      <c r="A13" s="1"/>
      <c r="B13" s="10" t="s">
        <v>158</v>
      </c>
      <c r="C13" s="68">
        <v>50000</v>
      </c>
      <c r="D13" s="23">
        <f>C13/C10</f>
        <v>2.13046998167796</v>
      </c>
      <c r="E13" s="24">
        <v>12500</v>
      </c>
      <c r="F13" s="11"/>
      <c r="G13" s="11">
        <v>12500</v>
      </c>
      <c r="H13" s="11"/>
      <c r="I13" s="11">
        <v>12500</v>
      </c>
      <c r="J13" s="11">
        <v>12500</v>
      </c>
    </row>
    <row r="14" ht="24.75" spans="1:10">
      <c r="A14" s="1"/>
      <c r="B14" s="10" t="s">
        <v>159</v>
      </c>
      <c r="C14" s="68">
        <v>58000</v>
      </c>
      <c r="D14" s="26">
        <f>C14/C10</f>
        <v>2.47134517874643</v>
      </c>
      <c r="E14" s="27">
        <v>14500</v>
      </c>
      <c r="F14" s="11"/>
      <c r="G14" s="28">
        <v>14500</v>
      </c>
      <c r="H14" s="11"/>
      <c r="I14" s="29">
        <v>14500</v>
      </c>
      <c r="J14" s="11">
        <v>14500</v>
      </c>
    </row>
    <row r="15" ht="20.25" spans="1:10">
      <c r="A15" s="3"/>
      <c r="B15" s="3" t="s">
        <v>160</v>
      </c>
      <c r="C15" s="30">
        <f>SUM(C11:C14)</f>
        <v>205731.1</v>
      </c>
      <c r="D15" s="30">
        <f>C15/C10</f>
        <v>8.76607865695172</v>
      </c>
      <c r="E15" s="31">
        <f>SUM(E11:E14)</f>
        <v>56634</v>
      </c>
      <c r="F15" s="32"/>
      <c r="G15" s="32">
        <f>SUM(G11:G14)</f>
        <v>51856</v>
      </c>
      <c r="H15" s="32"/>
      <c r="I15" s="32">
        <f>SUM(I11:I14)</f>
        <v>50071</v>
      </c>
      <c r="J15" s="32">
        <f>SUM(J11:J14)</f>
        <v>47170.1</v>
      </c>
    </row>
    <row r="16" ht="20.25" spans="1:10">
      <c r="A16" s="1"/>
      <c r="B16" s="33" t="s">
        <v>161</v>
      </c>
      <c r="C16" s="23">
        <f>C10-C15</f>
        <v>-182262.1</v>
      </c>
      <c r="D16" s="23">
        <f>C16/C10</f>
        <v>-7.76607865695172</v>
      </c>
      <c r="E16" s="24">
        <f>SUM(E10-E11-E12-E14)</f>
        <v>-44134</v>
      </c>
      <c r="F16" s="11"/>
      <c r="G16" s="11">
        <f>SUM(G10-G11-G12-G14)</f>
        <v>-39356</v>
      </c>
      <c r="H16" s="11"/>
      <c r="I16" s="11">
        <f>SUM(I10-I11-I12-I14)</f>
        <v>-37571</v>
      </c>
      <c r="J16" s="11"/>
    </row>
    <row r="17" ht="24.75" spans="1:10">
      <c r="A17" s="1"/>
      <c r="B17" s="34" t="s">
        <v>162</v>
      </c>
      <c r="C17" s="26">
        <f>C10*0.45</f>
        <v>10561.05</v>
      </c>
      <c r="D17" s="23">
        <f>C17/C10</f>
        <v>0.45</v>
      </c>
      <c r="E17" s="26">
        <f>E10*0.45</f>
        <v>0</v>
      </c>
      <c r="F17" s="23"/>
      <c r="G17" s="26">
        <f>G10*0.45</f>
        <v>0</v>
      </c>
      <c r="H17" s="23"/>
      <c r="I17" s="26">
        <f>I10*0.45</f>
        <v>0</v>
      </c>
      <c r="J17" s="1"/>
    </row>
    <row r="18" ht="20.25" spans="1:10">
      <c r="A18" s="4"/>
      <c r="B18" s="35" t="s">
        <v>163</v>
      </c>
      <c r="C18" s="4">
        <f>C16-C17</f>
        <v>-192823.15</v>
      </c>
      <c r="D18" s="4"/>
      <c r="E18" s="4">
        <f>E16-E17</f>
        <v>-44134</v>
      </c>
      <c r="F18" s="4"/>
      <c r="G18" s="4">
        <f>G16-G17</f>
        <v>-39356</v>
      </c>
      <c r="H18" s="4"/>
      <c r="I18" s="4">
        <f>I16-I17</f>
        <v>-37571</v>
      </c>
      <c r="J18" s="4"/>
    </row>
    <row r="19" ht="20.25" spans="1:10">
      <c r="A19" s="1"/>
      <c r="B19" s="34"/>
      <c r="C19" s="36"/>
      <c r="D19" s="36"/>
      <c r="E19" s="11"/>
      <c r="F19" s="11"/>
      <c r="G19" s="11"/>
      <c r="H19" s="11"/>
      <c r="I19" s="11"/>
      <c r="J19" s="1"/>
    </row>
    <row r="20" ht="20.25" spans="1:10">
      <c r="A20" s="2" t="s">
        <v>26</v>
      </c>
      <c r="B20" s="2" t="s">
        <v>156</v>
      </c>
      <c r="C20" s="21">
        <v>261300</v>
      </c>
      <c r="D20" s="21"/>
      <c r="E20" s="20"/>
      <c r="F20" s="21"/>
      <c r="G20" s="21"/>
      <c r="H20" s="21"/>
      <c r="I20" s="21"/>
      <c r="J20" s="2"/>
    </row>
    <row r="21" ht="20.25" spans="1:10">
      <c r="A21" s="1"/>
      <c r="B21" s="10" t="s">
        <v>0</v>
      </c>
      <c r="C21" s="23">
        <f>SUM(E21:I21)</f>
        <v>33551.5</v>
      </c>
      <c r="D21" s="36">
        <f>C21/C20</f>
        <v>0.128402219670876</v>
      </c>
      <c r="E21" s="24">
        <f>Jan!D15</f>
        <v>18414</v>
      </c>
      <c r="F21" s="11"/>
      <c r="G21" s="11">
        <f>Jan!D16</f>
        <v>6043</v>
      </c>
      <c r="H21" s="11"/>
      <c r="I21" s="11">
        <f>Jan!D17</f>
        <v>9094.5</v>
      </c>
      <c r="J21" s="60">
        <f>Jan!D18</f>
        <v>12126</v>
      </c>
    </row>
    <row r="22" ht="20.25" spans="1:10">
      <c r="A22" s="1"/>
      <c r="B22" s="10" t="s">
        <v>157</v>
      </c>
      <c r="C22" s="23">
        <f>SUM(E22:I22)</f>
        <v>25700</v>
      </c>
      <c r="D22" s="36">
        <f>C22/C20</f>
        <v>0.0983543819364715</v>
      </c>
      <c r="E22" s="24">
        <f>Jan!F15</f>
        <v>8255</v>
      </c>
      <c r="F22" s="11"/>
      <c r="G22" s="11">
        <f>Jan!F16</f>
        <v>7300</v>
      </c>
      <c r="H22" s="11"/>
      <c r="I22" s="11">
        <f>Jan!F17</f>
        <v>10145</v>
      </c>
      <c r="J22" s="60">
        <f>Jan!F18</f>
        <v>10760</v>
      </c>
    </row>
    <row r="23" ht="20.25" spans="1:10">
      <c r="A23" s="1"/>
      <c r="B23" s="10" t="s">
        <v>158</v>
      </c>
      <c r="C23" s="23">
        <v>50000</v>
      </c>
      <c r="D23" s="36">
        <f>C23/C20</f>
        <v>0.191350937619594</v>
      </c>
      <c r="E23" s="24">
        <v>12500</v>
      </c>
      <c r="F23" s="11"/>
      <c r="G23" s="11">
        <v>12500</v>
      </c>
      <c r="H23" s="11"/>
      <c r="I23" s="11">
        <v>12500</v>
      </c>
      <c r="J23" s="1"/>
    </row>
    <row r="24" ht="24.75" spans="1:10">
      <c r="A24" s="1"/>
      <c r="B24" s="10" t="s">
        <v>159</v>
      </c>
      <c r="C24" s="26">
        <v>58000</v>
      </c>
      <c r="D24" s="36">
        <f>C24/C20</f>
        <v>0.221967087638729</v>
      </c>
      <c r="E24" s="27">
        <v>14500</v>
      </c>
      <c r="F24" s="11"/>
      <c r="G24" s="28">
        <v>14500</v>
      </c>
      <c r="H24" s="11"/>
      <c r="I24" s="29">
        <v>14500</v>
      </c>
      <c r="J24" s="1"/>
    </row>
    <row r="25" ht="20.25" spans="1:10">
      <c r="A25" s="3"/>
      <c r="B25" s="3" t="s">
        <v>160</v>
      </c>
      <c r="C25" s="32">
        <f>SUM(C21:C24)</f>
        <v>167251.5</v>
      </c>
      <c r="D25" s="32">
        <f>C25/C20</f>
        <v>0.640074626865672</v>
      </c>
      <c r="E25" s="31">
        <f>SUM(E21:E24)</f>
        <v>53669</v>
      </c>
      <c r="F25" s="32"/>
      <c r="G25" s="31">
        <f>SUM(G21:G24)</f>
        <v>40343</v>
      </c>
      <c r="H25" s="32"/>
      <c r="I25" s="31">
        <f>SUM(I21:I24)</f>
        <v>46239.5</v>
      </c>
      <c r="J25" s="3"/>
    </row>
    <row r="26" ht="20.25" spans="1:10">
      <c r="A26" s="1"/>
      <c r="B26" s="33" t="s">
        <v>161</v>
      </c>
      <c r="C26" s="23">
        <f>C20-C25</f>
        <v>94048.5</v>
      </c>
      <c r="D26" s="36"/>
      <c r="E26" s="24">
        <f>SUM(E20-E21-E22-E24)</f>
        <v>-41169</v>
      </c>
      <c r="F26" s="11"/>
      <c r="G26" s="11">
        <f>SUM(G20-G21-G22-G24)</f>
        <v>-27843</v>
      </c>
      <c r="H26" s="11"/>
      <c r="I26" s="11">
        <f>SUM(I20-I21-I22-I24)</f>
        <v>-33739.5</v>
      </c>
      <c r="J26" s="1"/>
    </row>
    <row r="27" ht="20.25" spans="1:10">
      <c r="A27" s="1"/>
      <c r="B27" s="38" t="s">
        <v>162</v>
      </c>
      <c r="C27" s="23">
        <f>C20*0.45</f>
        <v>117585</v>
      </c>
      <c r="D27" s="36"/>
      <c r="E27" s="23">
        <f t="shared" ref="E27:I27" si="1">E20*0.45</f>
        <v>0</v>
      </c>
      <c r="F27" s="23"/>
      <c r="G27" s="23">
        <f t="shared" si="1"/>
        <v>0</v>
      </c>
      <c r="H27" s="23"/>
      <c r="I27" s="23">
        <f t="shared" si="1"/>
        <v>0</v>
      </c>
      <c r="J27" s="1"/>
    </row>
    <row r="28" ht="20.25" spans="1:10">
      <c r="A28" s="5"/>
      <c r="B28" s="39" t="s">
        <v>163</v>
      </c>
      <c r="C28" s="4">
        <f>C26-C27</f>
        <v>-23536.5</v>
      </c>
      <c r="D28" s="4"/>
      <c r="E28" s="4">
        <f t="shared" ref="E28:I28" si="2">E26-E27</f>
        <v>-41169</v>
      </c>
      <c r="F28" s="4"/>
      <c r="G28" s="4">
        <f t="shared" si="2"/>
        <v>-27843</v>
      </c>
      <c r="H28" s="4"/>
      <c r="I28" s="4">
        <f t="shared" si="2"/>
        <v>-33739.5</v>
      </c>
      <c r="J28" s="5"/>
    </row>
    <row r="29" ht="20.25" spans="1:10">
      <c r="A29" s="1"/>
      <c r="B29" s="34"/>
      <c r="C29" s="36"/>
      <c r="D29" s="36"/>
      <c r="E29" s="11"/>
      <c r="F29" s="11"/>
      <c r="G29" s="11"/>
      <c r="H29" s="11"/>
      <c r="I29" s="11"/>
      <c r="J29" s="1"/>
    </row>
    <row r="30" s="57" customFormat="1" ht="20.25" spans="1:10">
      <c r="A30" s="40" t="s">
        <v>28</v>
      </c>
      <c r="B30" s="40" t="s">
        <v>156</v>
      </c>
      <c r="C30" s="21">
        <v>71450</v>
      </c>
      <c r="D30" s="41"/>
      <c r="E30" s="55"/>
      <c r="F30" s="42"/>
      <c r="G30" s="42"/>
      <c r="H30" s="43"/>
      <c r="I30" s="43"/>
      <c r="J30" s="6"/>
    </row>
    <row r="31" ht="20.25" spans="1:10">
      <c r="A31" s="1"/>
      <c r="B31" s="10" t="s">
        <v>0</v>
      </c>
      <c r="C31" s="23">
        <f>SUM(E31:I31)</f>
        <v>16007.5</v>
      </c>
      <c r="D31" s="36"/>
      <c r="E31" s="24"/>
      <c r="F31" s="11"/>
      <c r="G31" s="44"/>
      <c r="H31" s="11"/>
      <c r="I31" s="11">
        <f>Jan!D27</f>
        <v>16007.5</v>
      </c>
      <c r="J31" s="60">
        <f>Jan!D28</f>
        <v>9604.5</v>
      </c>
    </row>
    <row r="32" ht="20.25" spans="1:10">
      <c r="A32" s="1"/>
      <c r="B32" s="10" t="s">
        <v>157</v>
      </c>
      <c r="C32" s="23">
        <f>SUM(E32:I32)</f>
        <v>2315</v>
      </c>
      <c r="D32" s="36"/>
      <c r="E32" s="24"/>
      <c r="F32" s="11"/>
      <c r="G32" s="11"/>
      <c r="H32" s="11"/>
      <c r="I32" s="11">
        <f>Jan!F27</f>
        <v>2315</v>
      </c>
      <c r="J32" s="60">
        <f>Jan!F28</f>
        <v>11720</v>
      </c>
    </row>
    <row r="33" ht="20.25" spans="1:10">
      <c r="A33" s="1"/>
      <c r="B33" s="10" t="s">
        <v>158</v>
      </c>
      <c r="C33" s="23">
        <v>50000</v>
      </c>
      <c r="D33" s="36"/>
      <c r="E33" s="24">
        <v>12500</v>
      </c>
      <c r="F33" s="11"/>
      <c r="G33" s="11">
        <v>12500</v>
      </c>
      <c r="H33" s="11"/>
      <c r="I33" s="11">
        <v>12500</v>
      </c>
      <c r="J33" s="11">
        <v>12500</v>
      </c>
    </row>
    <row r="34" ht="24.75" spans="1:10">
      <c r="A34" s="1"/>
      <c r="B34" s="10" t="s">
        <v>159</v>
      </c>
      <c r="C34" s="26">
        <v>58000</v>
      </c>
      <c r="D34" s="36"/>
      <c r="E34" s="27">
        <v>14500</v>
      </c>
      <c r="F34" s="11"/>
      <c r="G34" s="28">
        <v>14500</v>
      </c>
      <c r="H34" s="11"/>
      <c r="I34" s="29">
        <v>14500</v>
      </c>
      <c r="J34" s="11">
        <v>14500</v>
      </c>
    </row>
    <row r="35" ht="20.25" spans="1:10">
      <c r="A35" s="7"/>
      <c r="B35" s="3" t="s">
        <v>160</v>
      </c>
      <c r="C35" s="32">
        <f>SUM(C31:C34)</f>
        <v>126322.5</v>
      </c>
      <c r="D35" s="45"/>
      <c r="E35" s="32">
        <f>SUM(E31:E34)</f>
        <v>27000</v>
      </c>
      <c r="F35" s="46"/>
      <c r="G35" s="32">
        <f>SUM(G31:G34)</f>
        <v>27000</v>
      </c>
      <c r="H35" s="46"/>
      <c r="I35" s="32">
        <f>SUM(I31:I34)</f>
        <v>45322.5</v>
      </c>
      <c r="J35" s="69">
        <f>SUM(J31:J34)</f>
        <v>48324.5</v>
      </c>
    </row>
    <row r="36" ht="20.25" spans="1:10">
      <c r="A36" s="1"/>
      <c r="B36" s="33" t="s">
        <v>161</v>
      </c>
      <c r="C36" s="19">
        <f>SUM(E36:I36)</f>
        <v>-61822.5</v>
      </c>
      <c r="D36" s="36"/>
      <c r="E36" s="24">
        <f>SUM(E30-E31-E32-E34)</f>
        <v>-14500</v>
      </c>
      <c r="F36" s="11"/>
      <c r="G36" s="11">
        <f>SUM(G30-G31-G32-G34)</f>
        <v>-14500</v>
      </c>
      <c r="H36" s="11"/>
      <c r="I36" s="11">
        <f>SUM(I30-I31-I32-I34)</f>
        <v>-32822.5</v>
      </c>
      <c r="J36" s="1"/>
    </row>
    <row r="37" ht="24.75" spans="1:10">
      <c r="A37" s="1"/>
      <c r="B37" s="38" t="s">
        <v>162</v>
      </c>
      <c r="C37" s="26">
        <f>C30*0.45</f>
        <v>32152.5</v>
      </c>
      <c r="D37" s="36"/>
      <c r="E37" s="23">
        <f>E30*0.45</f>
        <v>0</v>
      </c>
      <c r="F37" s="11"/>
      <c r="G37" s="26">
        <f>G30*0.45</f>
        <v>0</v>
      </c>
      <c r="H37" s="11"/>
      <c r="I37" s="26">
        <f>I30*0.45</f>
        <v>0</v>
      </c>
      <c r="J37" s="1"/>
    </row>
    <row r="38" ht="20.25" spans="1:10">
      <c r="A38" s="8"/>
      <c r="B38" s="47" t="s">
        <v>163</v>
      </c>
      <c r="C38" s="4">
        <f>SUM(C36-C37)</f>
        <v>-93975</v>
      </c>
      <c r="D38" s="48"/>
      <c r="E38" s="4">
        <f>SUM(E36-E37)</f>
        <v>-14500</v>
      </c>
      <c r="F38" s="49"/>
      <c r="G38" s="4">
        <f>SUM(G36-G37)</f>
        <v>-14500</v>
      </c>
      <c r="H38" s="49"/>
      <c r="I38" s="4">
        <f>SUM(I36-I37)</f>
        <v>-32822.5</v>
      </c>
      <c r="J38" s="8"/>
    </row>
    <row r="39" ht="20.25" spans="1:10">
      <c r="A39" s="1"/>
      <c r="B39" s="1"/>
      <c r="C39" s="36"/>
      <c r="D39" s="36"/>
      <c r="E39" s="11"/>
      <c r="F39" s="11"/>
      <c r="G39" s="11"/>
      <c r="H39" s="11"/>
      <c r="I39" s="11"/>
      <c r="J39" s="1"/>
    </row>
    <row r="40" ht="20.25" spans="1:10">
      <c r="A40" s="40" t="s">
        <v>30</v>
      </c>
      <c r="B40" s="40" t="s">
        <v>156</v>
      </c>
      <c r="C40" s="21">
        <v>168200</v>
      </c>
      <c r="D40" s="41"/>
      <c r="E40" s="55"/>
      <c r="F40" s="42"/>
      <c r="G40" s="42"/>
      <c r="H40" s="43"/>
      <c r="I40" s="43"/>
      <c r="J40" s="6"/>
    </row>
    <row r="41" ht="20.25" spans="1:10">
      <c r="A41" s="1"/>
      <c r="B41" s="10" t="s">
        <v>0</v>
      </c>
      <c r="C41" s="23">
        <f>SUM(E41:J41)</f>
        <v>43073.5</v>
      </c>
      <c r="D41" s="36"/>
      <c r="E41" s="24">
        <f>Jan!D35</f>
        <v>21483</v>
      </c>
      <c r="F41" s="11"/>
      <c r="G41" s="11">
        <f>Jan!D36</f>
        <v>9064.5</v>
      </c>
      <c r="H41" s="11"/>
      <c r="I41" s="11"/>
      <c r="J41" s="60">
        <f>Jan!D38</f>
        <v>12526</v>
      </c>
    </row>
    <row r="42" ht="20.25" spans="1:10">
      <c r="A42" s="1"/>
      <c r="B42" s="10" t="s">
        <v>157</v>
      </c>
      <c r="C42" s="23">
        <f>SUM(E42:J42)</f>
        <v>35085</v>
      </c>
      <c r="D42" s="36"/>
      <c r="E42" s="24">
        <f>Jan!F35</f>
        <v>8355</v>
      </c>
      <c r="F42" s="11"/>
      <c r="G42" s="11">
        <f>Jan!F36</f>
        <v>7110</v>
      </c>
      <c r="H42" s="11"/>
      <c r="I42" s="11">
        <f>Jan!F37</f>
        <v>10785</v>
      </c>
      <c r="J42" s="60">
        <f>Jan!F38</f>
        <v>8835</v>
      </c>
    </row>
    <row r="43" ht="20.25" spans="1:10">
      <c r="A43" s="1"/>
      <c r="B43" s="10" t="s">
        <v>158</v>
      </c>
      <c r="C43" s="23">
        <v>50000</v>
      </c>
      <c r="D43" s="36"/>
      <c r="E43" s="24">
        <v>12500</v>
      </c>
      <c r="F43" s="11"/>
      <c r="G43" s="11">
        <v>12500</v>
      </c>
      <c r="H43" s="11"/>
      <c r="I43" s="11">
        <v>12500</v>
      </c>
      <c r="J43" s="1"/>
    </row>
    <row r="44" ht="24.75" spans="1:10">
      <c r="A44" s="1"/>
      <c r="B44" s="10" t="s">
        <v>159</v>
      </c>
      <c r="C44" s="26">
        <v>58000</v>
      </c>
      <c r="D44" s="36"/>
      <c r="E44" s="27">
        <v>14500</v>
      </c>
      <c r="F44" s="11"/>
      <c r="G44" s="28">
        <v>14500</v>
      </c>
      <c r="H44" s="11"/>
      <c r="I44" s="29">
        <v>14500</v>
      </c>
      <c r="J44" s="1"/>
    </row>
    <row r="45" ht="20.25" spans="1:10">
      <c r="A45" s="3"/>
      <c r="B45" s="3" t="s">
        <v>160</v>
      </c>
      <c r="C45" s="32">
        <f>SUM(C41:C44)</f>
        <v>186158.5</v>
      </c>
      <c r="D45" s="32"/>
      <c r="E45" s="32">
        <f>SUM(E41:E44)</f>
        <v>56838</v>
      </c>
      <c r="F45" s="32"/>
      <c r="G45" s="32">
        <f>SUM(G41:G44)</f>
        <v>43174.5</v>
      </c>
      <c r="H45" s="32"/>
      <c r="I45" s="32">
        <f>SUM(I41:I44)</f>
        <v>37785</v>
      </c>
      <c r="J45" s="3"/>
    </row>
    <row r="46" ht="20.25" spans="1:10">
      <c r="A46" s="1"/>
      <c r="B46" s="33" t="s">
        <v>161</v>
      </c>
      <c r="C46" s="23">
        <f>C40-C45</f>
        <v>-17958.5</v>
      </c>
      <c r="D46" s="36"/>
      <c r="E46" s="24">
        <f>SUM(E40-E41-E42-E44)</f>
        <v>-44338</v>
      </c>
      <c r="F46" s="11"/>
      <c r="G46" s="11">
        <f>SUM(G40-G41-G42-G44)</f>
        <v>-30674.5</v>
      </c>
      <c r="H46" s="11"/>
      <c r="I46" s="11">
        <f>SUM(I40-I41-I42-I44)</f>
        <v>-25285</v>
      </c>
      <c r="J46" s="1"/>
    </row>
    <row r="47" ht="20.25" spans="1:10">
      <c r="A47" s="1"/>
      <c r="B47" s="38" t="s">
        <v>162</v>
      </c>
      <c r="C47" s="11">
        <f>C40*0.45</f>
        <v>75690</v>
      </c>
      <c r="D47" s="11">
        <f>D40*0.45</f>
        <v>0</v>
      </c>
      <c r="E47" s="11">
        <f>E40*0.45</f>
        <v>0</v>
      </c>
      <c r="F47" s="11"/>
      <c r="G47" s="11">
        <f>G40*0.45</f>
        <v>0</v>
      </c>
      <c r="H47" s="11"/>
      <c r="I47" s="11">
        <f>I40*0.45</f>
        <v>0</v>
      </c>
      <c r="J47" s="1"/>
    </row>
    <row r="48" ht="20.25" spans="1:10">
      <c r="A48" s="8"/>
      <c r="B48" s="47" t="s">
        <v>163</v>
      </c>
      <c r="C48" s="49">
        <f>C46-C47</f>
        <v>-93648.5</v>
      </c>
      <c r="D48" s="49"/>
      <c r="E48" s="49">
        <f t="shared" ref="E48:I48" si="3">E46-E47</f>
        <v>-44338</v>
      </c>
      <c r="F48" s="49"/>
      <c r="G48" s="49">
        <f t="shared" si="3"/>
        <v>-30674.5</v>
      </c>
      <c r="H48" s="49"/>
      <c r="I48" s="49">
        <f t="shared" si="3"/>
        <v>-25285</v>
      </c>
      <c r="J48" s="8"/>
    </row>
    <row r="49" ht="20.25" spans="1:10">
      <c r="A49" s="1"/>
      <c r="B49" s="1"/>
      <c r="C49" s="11"/>
      <c r="D49" s="11"/>
      <c r="E49" s="11"/>
      <c r="F49" s="11"/>
      <c r="G49" s="11"/>
      <c r="H49" s="11"/>
      <c r="I49" s="11"/>
      <c r="J49" s="1"/>
    </row>
    <row r="50" ht="20.25" spans="1:10">
      <c r="A50" s="1"/>
      <c r="B50" s="50" t="s">
        <v>164</v>
      </c>
      <c r="C50" s="11">
        <f>C16+C26+C36+C46</f>
        <v>-167994.6</v>
      </c>
      <c r="D50" s="11"/>
      <c r="E50" s="11"/>
      <c r="F50" s="11"/>
      <c r="G50" s="11"/>
      <c r="H50" s="11"/>
      <c r="I50" s="11"/>
      <c r="J50" s="1"/>
    </row>
    <row r="51" ht="20.25" spans="1:10">
      <c r="A51" s="1"/>
      <c r="B51" s="51" t="s">
        <v>165</v>
      </c>
      <c r="C51" s="11">
        <v>160000</v>
      </c>
      <c r="D51" s="11"/>
      <c r="E51" s="11"/>
      <c r="F51" s="11"/>
      <c r="G51" s="11"/>
      <c r="H51" s="11"/>
      <c r="I51" s="11"/>
      <c r="J51" s="1"/>
    </row>
    <row r="52" ht="20.25" spans="1:10">
      <c r="A52" s="1"/>
      <c r="B52" s="52" t="s">
        <v>166</v>
      </c>
      <c r="C52" s="11">
        <f>C50-C51</f>
        <v>-327994.6</v>
      </c>
      <c r="D52" s="11"/>
      <c r="E52" s="11"/>
      <c r="F52" s="11"/>
      <c r="G52" s="11"/>
      <c r="H52" s="11"/>
      <c r="I52" s="11"/>
      <c r="J52" s="1"/>
    </row>
    <row r="53" ht="20.25" spans="1:10">
      <c r="A53" s="1"/>
      <c r="B53" s="10"/>
      <c r="C53" s="11"/>
      <c r="D53" s="11"/>
      <c r="E53" s="11"/>
      <c r="F53" s="11"/>
      <c r="G53" s="11"/>
      <c r="H53" s="11"/>
      <c r="I53" s="11"/>
      <c r="J53" s="1"/>
    </row>
    <row r="54" ht="20.25" spans="1:10">
      <c r="A54" s="53"/>
      <c r="B54" s="1" t="s">
        <v>167</v>
      </c>
      <c r="C54" s="11"/>
      <c r="D54" s="11"/>
      <c r="E54" s="11"/>
      <c r="F54" s="11"/>
      <c r="G54" s="11"/>
      <c r="H54" s="11"/>
      <c r="I54" s="11"/>
      <c r="J54" s="1"/>
    </row>
    <row r="55" ht="20.25" spans="1:10">
      <c r="A55" s="54"/>
      <c r="B55" s="1" t="s">
        <v>168</v>
      </c>
      <c r="C55" s="11"/>
      <c r="D55" s="11"/>
      <c r="E55" s="11"/>
      <c r="F55" s="11"/>
      <c r="G55" s="11"/>
      <c r="H55" s="11"/>
      <c r="I55" s="11"/>
      <c r="J55" s="1"/>
    </row>
    <row r="56" ht="20.25" spans="1:10">
      <c r="A56" s="8"/>
      <c r="B56" s="1" t="s">
        <v>169</v>
      </c>
      <c r="C56" s="11"/>
      <c r="D56" s="11"/>
      <c r="E56" s="11"/>
      <c r="F56" s="11"/>
      <c r="G56" s="11"/>
      <c r="H56" s="11"/>
      <c r="I56" s="11"/>
      <c r="J56" s="1"/>
    </row>
    <row r="57" ht="20.25" spans="1:10">
      <c r="A57" s="1"/>
      <c r="B57" s="1"/>
      <c r="C57" s="11"/>
      <c r="D57" s="11"/>
      <c r="E57" s="11"/>
      <c r="F57" s="11"/>
      <c r="G57" s="11"/>
      <c r="H57" s="11"/>
      <c r="I57" s="11"/>
      <c r="J57" s="1"/>
    </row>
    <row r="58" ht="20.25" spans="1:10">
      <c r="A58" s="1"/>
      <c r="B58" s="1"/>
      <c r="C58" s="11"/>
      <c r="D58" s="11"/>
      <c r="E58" s="11"/>
      <c r="F58" s="11"/>
      <c r="G58" s="11"/>
      <c r="H58" s="11"/>
      <c r="I58" s="11"/>
      <c r="J58" s="1"/>
    </row>
    <row r="59" ht="20.25" spans="1:10">
      <c r="A59" s="1"/>
      <c r="B59" s="1"/>
      <c r="C59" s="11"/>
      <c r="D59" s="11"/>
      <c r="E59" s="11"/>
      <c r="F59" s="11"/>
      <c r="G59" s="11"/>
      <c r="H59" s="11"/>
      <c r="I59" s="11"/>
      <c r="J59" s="1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M23" sqref="M23"/>
    </sheetView>
  </sheetViews>
  <sheetFormatPr defaultColWidth="9" defaultRowHeight="14.25"/>
  <cols>
    <col min="2" max="2" width="40.75" customWidth="1"/>
    <col min="3" max="3" width="17" customWidth="1"/>
    <col min="5" max="5" width="16.5" customWidth="1"/>
    <col min="7" max="7" width="15.75" customWidth="1"/>
    <col min="9" max="9" width="20.25" customWidth="1"/>
    <col min="10" max="10" width="21.25" customWidth="1"/>
  </cols>
  <sheetData>
    <row r="1" spans="1:10">
      <c r="C1" s="9"/>
      <c r="D1" s="58"/>
      <c r="E1" s="9"/>
      <c r="F1" s="9"/>
      <c r="G1" s="9"/>
      <c r="H1" s="9"/>
      <c r="I1" s="9"/>
    </row>
    <row r="2" ht="20.25" spans="1:10">
      <c r="A2" s="10" t="s">
        <v>140</v>
      </c>
      <c r="B2" s="1"/>
      <c r="C2" s="11"/>
      <c r="D2" s="18"/>
      <c r="E2" s="11"/>
      <c r="F2" s="11"/>
      <c r="G2" s="11"/>
      <c r="H2" s="11"/>
      <c r="I2" s="11"/>
      <c r="J2" s="1"/>
    </row>
    <row r="3" ht="20.25" spans="1:10">
      <c r="A3" s="10" t="s">
        <v>170</v>
      </c>
      <c r="B3" s="1"/>
      <c r="C3" s="11"/>
      <c r="D3" s="18"/>
      <c r="E3" s="11"/>
      <c r="F3" s="11"/>
      <c r="G3" s="11"/>
      <c r="H3" s="11"/>
      <c r="I3" s="11"/>
      <c r="J3" s="1"/>
    </row>
    <row r="4" ht="20.25" spans="1:10">
      <c r="A4" s="10" t="s">
        <v>178</v>
      </c>
      <c r="B4" s="1"/>
      <c r="C4" s="11"/>
      <c r="D4" s="18"/>
      <c r="E4" s="11"/>
      <c r="F4" s="11"/>
      <c r="G4" s="11"/>
      <c r="H4" s="11"/>
      <c r="I4" s="11"/>
      <c r="J4" s="1"/>
    </row>
    <row r="5" ht="20.25" spans="1:10">
      <c r="A5" s="10" t="s">
        <v>143</v>
      </c>
      <c r="B5" s="1"/>
      <c r="C5" s="11"/>
      <c r="D5" s="18"/>
      <c r="E5" s="11"/>
      <c r="F5" s="11"/>
      <c r="G5" s="11"/>
      <c r="H5" s="11"/>
      <c r="I5" s="11"/>
      <c r="J5" s="1"/>
    </row>
    <row r="6" ht="20.25" spans="1:10">
      <c r="A6" s="10" t="s">
        <v>172</v>
      </c>
      <c r="B6" s="1"/>
      <c r="C6" s="11"/>
      <c r="D6" s="18"/>
      <c r="E6" s="11"/>
      <c r="F6" s="11"/>
      <c r="G6" s="11"/>
      <c r="H6" s="11"/>
      <c r="I6" s="11"/>
      <c r="J6" s="1"/>
    </row>
    <row r="7" ht="20.25" spans="1:10">
      <c r="A7" s="1"/>
      <c r="B7" s="1"/>
      <c r="C7" s="24"/>
      <c r="D7" s="18"/>
      <c r="E7" s="11"/>
      <c r="F7" s="11"/>
      <c r="G7" s="11"/>
      <c r="H7" s="11"/>
      <c r="I7" s="11"/>
      <c r="J7" s="1"/>
    </row>
    <row r="8" ht="20.25" spans="1:10">
      <c r="A8" s="10" t="s">
        <v>144</v>
      </c>
      <c r="B8" s="12"/>
      <c r="C8" s="11"/>
      <c r="D8" s="18"/>
      <c r="E8" s="13" t="s">
        <v>173</v>
      </c>
      <c r="F8" s="14"/>
      <c r="G8" s="15" t="s">
        <v>173</v>
      </c>
      <c r="H8" s="15"/>
      <c r="I8" s="16" t="s">
        <v>173</v>
      </c>
      <c r="J8" s="34"/>
    </row>
    <row r="9" ht="20.25" spans="1:10">
      <c r="A9" s="1"/>
      <c r="B9" s="1"/>
      <c r="C9" s="24" t="s">
        <v>147</v>
      </c>
      <c r="D9" s="18" t="s">
        <v>148</v>
      </c>
      <c r="E9" s="11" t="s">
        <v>174</v>
      </c>
      <c r="F9" s="11"/>
      <c r="G9" s="19" t="s">
        <v>175</v>
      </c>
      <c r="H9" s="11"/>
      <c r="I9" s="19" t="s">
        <v>176</v>
      </c>
      <c r="J9" s="1" t="s">
        <v>177</v>
      </c>
    </row>
    <row r="10" ht="20.25" spans="1:10">
      <c r="A10" s="2" t="s">
        <v>4</v>
      </c>
      <c r="B10" s="2" t="s">
        <v>156</v>
      </c>
      <c r="C10" s="20">
        <v>258345</v>
      </c>
      <c r="D10" s="59"/>
      <c r="E10" s="20"/>
      <c r="F10" s="21"/>
      <c r="G10" s="21"/>
      <c r="H10" s="21"/>
      <c r="I10" s="21"/>
      <c r="J10" s="2"/>
    </row>
    <row r="11" ht="20.25" spans="1:10">
      <c r="A11" s="1"/>
      <c r="B11" s="10" t="s">
        <v>0</v>
      </c>
      <c r="C11" s="19">
        <v>49567.5</v>
      </c>
      <c r="D11" s="18">
        <f>C11/C10</f>
        <v>0.191865528653545</v>
      </c>
      <c r="E11" s="24">
        <f>Feb!D5</f>
        <v>13126</v>
      </c>
      <c r="F11" s="11"/>
      <c r="G11" s="11">
        <f>Feb!D6</f>
        <v>13326</v>
      </c>
      <c r="H11" s="11"/>
      <c r="I11" s="11">
        <f>Feb!D7</f>
        <v>10129</v>
      </c>
      <c r="J11" s="60">
        <f>Feb!D8</f>
        <v>12986</v>
      </c>
    </row>
    <row r="12" ht="20.25" spans="1:10">
      <c r="A12" s="1"/>
      <c r="B12" s="10" t="s">
        <v>157</v>
      </c>
      <c r="C12" s="19">
        <v>21650</v>
      </c>
      <c r="D12" s="18">
        <f>C12/C10</f>
        <v>0.0838026669763301</v>
      </c>
      <c r="E12" s="24">
        <f>Feb!F5</f>
        <v>11985</v>
      </c>
      <c r="F12" s="11"/>
      <c r="G12" s="11"/>
      <c r="H12" s="11"/>
      <c r="I12" s="11">
        <f>Feb!F7</f>
        <v>5590</v>
      </c>
      <c r="J12" s="60">
        <f>Feb!F8</f>
        <v>5400</v>
      </c>
    </row>
    <row r="13" ht="20.25" spans="1:10">
      <c r="A13" s="1"/>
      <c r="B13" s="10" t="s">
        <v>158</v>
      </c>
      <c r="C13" s="19">
        <v>50000</v>
      </c>
      <c r="D13" s="18"/>
      <c r="E13" s="24">
        <v>12500</v>
      </c>
      <c r="F13" s="11"/>
      <c r="G13" s="11">
        <v>12500</v>
      </c>
      <c r="H13" s="11"/>
      <c r="I13" s="11">
        <v>12500</v>
      </c>
      <c r="J13" s="11">
        <v>12500</v>
      </c>
    </row>
    <row r="14" ht="24.75" spans="1:10">
      <c r="A14" s="1"/>
      <c r="B14" s="10" t="s">
        <v>159</v>
      </c>
      <c r="C14" s="28">
        <v>58000</v>
      </c>
      <c r="D14" s="18">
        <f>C14/C10</f>
        <v>0.224505990052062</v>
      </c>
      <c r="E14" s="27">
        <v>14500</v>
      </c>
      <c r="F14" s="11"/>
      <c r="G14" s="28">
        <v>14500</v>
      </c>
      <c r="H14" s="11"/>
      <c r="I14" s="29">
        <v>14500</v>
      </c>
      <c r="J14" s="11">
        <v>14500</v>
      </c>
    </row>
    <row r="15" ht="20.25" spans="1:10">
      <c r="A15" s="3"/>
      <c r="B15" s="3" t="s">
        <v>160</v>
      </c>
      <c r="C15" s="32">
        <f>SUM(C11:C14)</f>
        <v>179217.5</v>
      </c>
      <c r="D15" s="61">
        <f>C15/C10</f>
        <v>0.693713832278542</v>
      </c>
      <c r="E15" s="31">
        <f>SUM(E11:E14)</f>
        <v>52111</v>
      </c>
      <c r="F15" s="32"/>
      <c r="G15" s="32">
        <f>SUM(G11:G14)</f>
        <v>40326</v>
      </c>
      <c r="H15" s="32"/>
      <c r="I15" s="32">
        <f>SUM(I11:I14)</f>
        <v>42719</v>
      </c>
      <c r="J15" s="32">
        <f>SUM(J11:J14)</f>
        <v>45386</v>
      </c>
    </row>
    <row r="16" ht="20.25" spans="1:10">
      <c r="A16" s="1"/>
      <c r="B16" s="33" t="s">
        <v>161</v>
      </c>
      <c r="C16" s="19">
        <v>100065.5</v>
      </c>
      <c r="D16" s="18">
        <f>C16/C10</f>
        <v>0.387332830130252</v>
      </c>
      <c r="E16" s="24">
        <f>SUM(E10-E11-E12-E14)</f>
        <v>-39611</v>
      </c>
      <c r="F16" s="11"/>
      <c r="G16" s="11">
        <f>SUM(G10-G11-G12-G14)</f>
        <v>-27826</v>
      </c>
      <c r="H16" s="11"/>
      <c r="I16" s="11">
        <f>SUM(I10-I11-I12-I14)</f>
        <v>-30219</v>
      </c>
      <c r="J16" s="1"/>
    </row>
    <row r="17" ht="24.75" spans="1:10">
      <c r="A17" s="1"/>
      <c r="B17" s="34" t="s">
        <v>162</v>
      </c>
      <c r="C17" s="29">
        <f>C10*0.45</f>
        <v>116255.25</v>
      </c>
      <c r="D17" s="18">
        <f>C17/C10</f>
        <v>0.45</v>
      </c>
      <c r="E17" s="26">
        <f>E10*0.45</f>
        <v>0</v>
      </c>
      <c r="F17" s="23"/>
      <c r="G17" s="26">
        <f>G10*0.45</f>
        <v>0</v>
      </c>
      <c r="H17" s="23"/>
      <c r="I17" s="26">
        <f>I10*0.45</f>
        <v>0</v>
      </c>
      <c r="J17" s="1"/>
    </row>
    <row r="18" ht="20.25" spans="1:10">
      <c r="A18" s="4"/>
      <c r="B18" s="35" t="s">
        <v>163</v>
      </c>
      <c r="C18" s="4">
        <f>C16-C17</f>
        <v>-16189.75</v>
      </c>
      <c r="D18" s="62"/>
      <c r="E18" s="4">
        <f>E16-E17</f>
        <v>-39611</v>
      </c>
      <c r="F18" s="4"/>
      <c r="G18" s="4">
        <f>G16-G17</f>
        <v>-27826</v>
      </c>
      <c r="H18" s="4"/>
      <c r="I18" s="4">
        <f>I16-I17</f>
        <v>-30219</v>
      </c>
      <c r="J18" s="4"/>
    </row>
    <row r="19" ht="20.25" spans="1:10">
      <c r="A19" s="1"/>
      <c r="B19" s="34"/>
      <c r="C19" s="11"/>
      <c r="D19" s="18"/>
      <c r="E19" s="11"/>
      <c r="F19" s="11"/>
      <c r="G19" s="11"/>
      <c r="H19" s="11"/>
      <c r="I19" s="11"/>
      <c r="J19" s="1"/>
    </row>
    <row r="20" ht="20.25" spans="1:10">
      <c r="A20" s="2" t="s">
        <v>26</v>
      </c>
      <c r="B20" s="2" t="s">
        <v>156</v>
      </c>
      <c r="C20" s="20">
        <v>293150</v>
      </c>
      <c r="D20" s="59"/>
      <c r="E20" s="20"/>
      <c r="F20" s="21"/>
      <c r="G20" s="21"/>
      <c r="H20" s="21"/>
      <c r="I20" s="21"/>
      <c r="J20" s="2"/>
    </row>
    <row r="21" ht="20.25" spans="1:10">
      <c r="A21" s="1"/>
      <c r="B21" s="10" t="s">
        <v>0</v>
      </c>
      <c r="C21" s="19">
        <v>39488</v>
      </c>
      <c r="D21" s="18">
        <f>C21/C20</f>
        <v>0.134702370799932</v>
      </c>
      <c r="E21" s="24"/>
      <c r="F21" s="11"/>
      <c r="G21" s="11">
        <f>Feb!D16</f>
        <v>6563</v>
      </c>
      <c r="H21" s="11"/>
      <c r="I21" s="11">
        <f>Feb!D17</f>
        <v>12506</v>
      </c>
      <c r="J21" s="60">
        <f>Feb!D18</f>
        <v>19419</v>
      </c>
    </row>
    <row r="22" ht="20.25" spans="1:10">
      <c r="A22" s="1"/>
      <c r="B22" s="10" t="s">
        <v>157</v>
      </c>
      <c r="C22" s="19">
        <v>29063</v>
      </c>
      <c r="D22" s="18">
        <f>C22/C20</f>
        <v>0.0991403718232987</v>
      </c>
      <c r="E22" s="24">
        <f>Feb!F15</f>
        <v>7045</v>
      </c>
      <c r="F22" s="11"/>
      <c r="G22" s="11"/>
      <c r="H22" s="11"/>
      <c r="I22" s="11">
        <f>Feb!F17</f>
        <v>12052.8</v>
      </c>
      <c r="J22" s="60">
        <f>Feb!F18</f>
        <v>8555</v>
      </c>
    </row>
    <row r="23" ht="20.25" spans="1:10">
      <c r="A23" s="1"/>
      <c r="B23" s="10" t="s">
        <v>158</v>
      </c>
      <c r="C23" s="19">
        <v>50000</v>
      </c>
      <c r="D23" s="18">
        <f>C23/C20</f>
        <v>0.170561146170902</v>
      </c>
      <c r="E23" s="24">
        <v>12500</v>
      </c>
      <c r="F23" s="11"/>
      <c r="G23" s="11">
        <v>12500</v>
      </c>
      <c r="H23" s="11"/>
      <c r="I23" s="11">
        <v>12500</v>
      </c>
      <c r="J23" s="11">
        <v>12500</v>
      </c>
    </row>
    <row r="24" ht="24.75" spans="1:10">
      <c r="A24" s="1"/>
      <c r="B24" s="10" t="s">
        <v>159</v>
      </c>
      <c r="C24" s="28">
        <v>58000</v>
      </c>
      <c r="D24" s="18">
        <f>C24/C20</f>
        <v>0.197850929558247</v>
      </c>
      <c r="E24" s="27">
        <v>14500</v>
      </c>
      <c r="F24" s="11"/>
      <c r="G24" s="28">
        <v>14500</v>
      </c>
      <c r="H24" s="11"/>
      <c r="I24" s="29">
        <v>14500</v>
      </c>
      <c r="J24" s="11">
        <v>14500</v>
      </c>
    </row>
    <row r="25" ht="20.25" spans="1:10">
      <c r="A25" s="3"/>
      <c r="B25" s="3" t="s">
        <v>160</v>
      </c>
      <c r="C25" s="32">
        <f>SUM(C21:C24)</f>
        <v>176551</v>
      </c>
      <c r="D25" s="61">
        <f>C25/C20</f>
        <v>0.602254818352379</v>
      </c>
      <c r="E25" s="31">
        <f>SUM(E21:E24)</f>
        <v>34045</v>
      </c>
      <c r="F25" s="32"/>
      <c r="G25" s="31">
        <f>SUM(G21:G24)</f>
        <v>33563</v>
      </c>
      <c r="H25" s="32"/>
      <c r="I25" s="31">
        <f>SUM(I21:I24)</f>
        <v>51558.8</v>
      </c>
      <c r="J25" s="30">
        <f>SUM(J21:J24)</f>
        <v>54974</v>
      </c>
    </row>
    <row r="26" ht="20.25" spans="1:10">
      <c r="A26" s="1"/>
      <c r="B26" s="33" t="s">
        <v>161</v>
      </c>
      <c r="C26" s="19">
        <v>166599</v>
      </c>
      <c r="D26" s="18">
        <f>C26/C20</f>
        <v>0.568306327818523</v>
      </c>
      <c r="E26" s="24">
        <f>SUM(E20-E21-E22-E24)</f>
        <v>-21545</v>
      </c>
      <c r="F26" s="11"/>
      <c r="G26" s="11">
        <f>SUM(G20-G21-G22-G24)</f>
        <v>-21063</v>
      </c>
      <c r="H26" s="11"/>
      <c r="I26" s="11">
        <f>SUM(I20-I21-I22-I24)</f>
        <v>-39058.8</v>
      </c>
      <c r="J26" s="60"/>
    </row>
    <row r="27" ht="20.25" spans="1:10">
      <c r="A27" s="1"/>
      <c r="B27" s="38" t="s">
        <v>162</v>
      </c>
      <c r="C27" s="11">
        <f>C20*0.45</f>
        <v>131917.5</v>
      </c>
      <c r="D27" s="18">
        <f>C27/C20</f>
        <v>0.45</v>
      </c>
      <c r="E27" s="23">
        <f t="shared" ref="E27:I27" si="0">E20*0.45</f>
        <v>0</v>
      </c>
      <c r="F27" s="23"/>
      <c r="G27" s="23">
        <f t="shared" si="0"/>
        <v>0</v>
      </c>
      <c r="H27" s="23"/>
      <c r="I27" s="23">
        <f t="shared" si="0"/>
        <v>0</v>
      </c>
      <c r="J27" s="1"/>
    </row>
    <row r="28" ht="20.25" spans="1:10">
      <c r="A28" s="5"/>
      <c r="B28" s="39" t="s">
        <v>163</v>
      </c>
      <c r="C28" s="4">
        <f>C26-C27</f>
        <v>34681.5</v>
      </c>
      <c r="D28" s="62"/>
      <c r="E28" s="4">
        <f t="shared" ref="E28:I28" si="1">E26-E27</f>
        <v>-21545</v>
      </c>
      <c r="F28" s="4"/>
      <c r="G28" s="4">
        <f t="shared" si="1"/>
        <v>-21063</v>
      </c>
      <c r="H28" s="4"/>
      <c r="I28" s="4">
        <f t="shared" si="1"/>
        <v>-39058.8</v>
      </c>
      <c r="J28" s="5"/>
    </row>
    <row r="29" ht="20.25" spans="1:10">
      <c r="A29" s="1"/>
      <c r="B29" s="34"/>
      <c r="C29" s="11"/>
      <c r="D29" s="18"/>
      <c r="E29" s="11"/>
      <c r="F29" s="11"/>
      <c r="G29" s="11"/>
      <c r="H29" s="11"/>
      <c r="I29" s="11"/>
      <c r="J29" s="1"/>
    </row>
    <row r="30" s="57" customFormat="1" ht="20.25" spans="1:10">
      <c r="A30" s="40" t="s">
        <v>28</v>
      </c>
      <c r="B30" s="40" t="s">
        <v>156</v>
      </c>
      <c r="C30" s="55">
        <v>212145</v>
      </c>
      <c r="D30" s="63"/>
      <c r="E30" s="55"/>
      <c r="F30" s="42"/>
      <c r="G30" s="42"/>
      <c r="H30" s="43"/>
      <c r="I30" s="43"/>
      <c r="J30" s="6"/>
    </row>
    <row r="31" ht="20.25" spans="1:10">
      <c r="A31" s="1"/>
      <c r="B31" s="10" t="s">
        <v>0</v>
      </c>
      <c r="C31" s="19">
        <v>41284.25</v>
      </c>
      <c r="D31" s="18">
        <f>C31/C30</f>
        <v>0.194603926559664</v>
      </c>
      <c r="E31" s="24">
        <f>Feb!D25</f>
        <v>11485.25</v>
      </c>
      <c r="F31" s="11"/>
      <c r="G31" s="44"/>
      <c r="H31" s="11"/>
      <c r="I31" s="11">
        <f>Feb!D27</f>
        <v>16882.5</v>
      </c>
      <c r="J31" s="60">
        <f>Feb!D28</f>
        <v>12946</v>
      </c>
    </row>
    <row r="32" ht="20.25" spans="1:10">
      <c r="A32" s="1"/>
      <c r="B32" s="10" t="s">
        <v>157</v>
      </c>
      <c r="C32" s="19">
        <v>26933</v>
      </c>
      <c r="D32" s="18">
        <f>C32/C30</f>
        <v>0.126955619976903</v>
      </c>
      <c r="E32" s="24">
        <f>Feb!F25</f>
        <v>8460</v>
      </c>
      <c r="F32" s="11"/>
      <c r="G32" s="11"/>
      <c r="H32" s="11"/>
      <c r="I32" s="11">
        <f>Feb!F27</f>
        <v>10403</v>
      </c>
      <c r="J32" s="60">
        <f>Feb!F28</f>
        <v>8360</v>
      </c>
    </row>
    <row r="33" ht="20.25" spans="1:10">
      <c r="A33" s="1"/>
      <c r="B33" s="10" t="s">
        <v>158</v>
      </c>
      <c r="C33" s="19">
        <v>50000</v>
      </c>
      <c r="D33" s="18">
        <f>C33/C30</f>
        <v>0.235687855004832</v>
      </c>
      <c r="E33" s="24">
        <v>12500</v>
      </c>
      <c r="F33" s="11"/>
      <c r="G33" s="11">
        <v>12500</v>
      </c>
      <c r="H33" s="11"/>
      <c r="I33" s="11">
        <v>12500</v>
      </c>
      <c r="J33" s="11">
        <v>12500</v>
      </c>
    </row>
    <row r="34" ht="24.75" spans="1:10">
      <c r="A34" s="1"/>
      <c r="B34" s="10" t="s">
        <v>159</v>
      </c>
      <c r="C34" s="28">
        <v>58000</v>
      </c>
      <c r="D34" s="18">
        <f>C34/C30</f>
        <v>0.273397911805605</v>
      </c>
      <c r="E34" s="27">
        <v>14500</v>
      </c>
      <c r="F34" s="11"/>
      <c r="G34" s="28">
        <v>14500</v>
      </c>
      <c r="H34" s="11"/>
      <c r="I34" s="29">
        <v>14500</v>
      </c>
      <c r="J34" s="11">
        <v>14500</v>
      </c>
    </row>
    <row r="35" ht="20.25" spans="1:10">
      <c r="A35" s="7"/>
      <c r="B35" s="3" t="s">
        <v>160</v>
      </c>
      <c r="C35" s="46">
        <f>SUM(C31:C34)</f>
        <v>176217.25</v>
      </c>
      <c r="D35" s="64">
        <f>C35/C30</f>
        <v>0.830645313347003</v>
      </c>
      <c r="E35" s="32">
        <f>SUM(E31:E34)</f>
        <v>46945.25</v>
      </c>
      <c r="F35" s="46"/>
      <c r="G35" s="32">
        <f>SUM(G31:G34)</f>
        <v>27000</v>
      </c>
      <c r="H35" s="46"/>
      <c r="I35" s="32">
        <f>SUM(I31:I34)</f>
        <v>54285.5</v>
      </c>
      <c r="J35" s="7"/>
    </row>
    <row r="36" ht="20.25" spans="1:10">
      <c r="A36" s="1"/>
      <c r="B36" s="33" t="s">
        <v>161</v>
      </c>
      <c r="C36" s="19">
        <f>C30-C35</f>
        <v>35927.75</v>
      </c>
      <c r="D36" s="18">
        <f>C36/C30</f>
        <v>0.169354686652997</v>
      </c>
      <c r="E36" s="24">
        <f>SUM(E30-E31-E32-E34)</f>
        <v>-34445.25</v>
      </c>
      <c r="F36" s="11"/>
      <c r="G36" s="11">
        <f>SUM(G30-G31-G32-G34)</f>
        <v>-14500</v>
      </c>
      <c r="H36" s="11"/>
      <c r="I36" s="11">
        <f>SUM(I30-I31-I32-I34)</f>
        <v>-41785.5</v>
      </c>
      <c r="J36" s="1"/>
    </row>
    <row r="37" ht="24.75" spans="1:10">
      <c r="A37" s="1"/>
      <c r="B37" s="38" t="s">
        <v>162</v>
      </c>
      <c r="C37" s="28">
        <f>C30*0.45</f>
        <v>95465.25</v>
      </c>
      <c r="D37" s="18"/>
      <c r="E37" s="23">
        <f>E30*0.45</f>
        <v>0</v>
      </c>
      <c r="F37" s="11"/>
      <c r="G37" s="26">
        <f>G30*0.45</f>
        <v>0</v>
      </c>
      <c r="H37" s="11"/>
      <c r="I37" s="26">
        <f>I30*0.45</f>
        <v>0</v>
      </c>
      <c r="J37" s="1"/>
    </row>
    <row r="38" ht="20.25" spans="1:10">
      <c r="A38" s="8"/>
      <c r="B38" s="47" t="s">
        <v>163</v>
      </c>
      <c r="C38" s="65">
        <f>C36-C37</f>
        <v>-59537.5</v>
      </c>
      <c r="D38" s="66"/>
      <c r="E38" s="4">
        <f>SUM(E36-E37)</f>
        <v>-34445.25</v>
      </c>
      <c r="F38" s="49"/>
      <c r="G38" s="4">
        <f>SUM(G36-G37)</f>
        <v>-14500</v>
      </c>
      <c r="H38" s="49"/>
      <c r="I38" s="4">
        <f>SUM(I36-I37)</f>
        <v>-41785.5</v>
      </c>
      <c r="J38" s="8"/>
    </row>
    <row r="39" ht="20.25" spans="1:10">
      <c r="A39" s="1"/>
      <c r="B39" s="1"/>
      <c r="C39" s="11"/>
      <c r="D39" s="18"/>
      <c r="E39" s="11"/>
      <c r="F39" s="11"/>
      <c r="G39" s="11"/>
      <c r="H39" s="11"/>
      <c r="I39" s="11"/>
      <c r="J39" s="1"/>
    </row>
    <row r="40" ht="20.25" spans="1:10">
      <c r="A40" s="40" t="s">
        <v>30</v>
      </c>
      <c r="B40" s="40" t="s">
        <v>156</v>
      </c>
      <c r="C40" s="55">
        <v>272230</v>
      </c>
      <c r="D40" s="63"/>
      <c r="E40" s="55"/>
      <c r="F40" s="42"/>
      <c r="G40" s="42"/>
      <c r="H40" s="43"/>
      <c r="I40" s="43"/>
      <c r="J40" s="6"/>
    </row>
    <row r="41" ht="20.25" spans="1:10">
      <c r="A41" s="1"/>
      <c r="B41" s="10" t="s">
        <v>0</v>
      </c>
      <c r="C41" s="19">
        <v>51106.4</v>
      </c>
      <c r="D41" s="18">
        <f>C41/C40</f>
        <v>0.187732432134592</v>
      </c>
      <c r="E41" s="24">
        <f>Feb!D35</f>
        <v>24699.4</v>
      </c>
      <c r="F41" s="11"/>
      <c r="G41" s="11">
        <f>Feb!D36</f>
        <v>13326</v>
      </c>
      <c r="H41" s="11"/>
      <c r="I41" s="11">
        <f>Feb!D37</f>
        <v>12946</v>
      </c>
      <c r="J41" s="60">
        <f>Feb!D38</f>
        <v>9739.5</v>
      </c>
    </row>
    <row r="42" ht="20.25" spans="1:10">
      <c r="A42" s="1"/>
      <c r="B42" s="10" t="s">
        <v>157</v>
      </c>
      <c r="C42" s="19">
        <v>26295</v>
      </c>
      <c r="D42" s="18">
        <f>C42/C40</f>
        <v>0.0965911178047974</v>
      </c>
      <c r="E42" s="24">
        <f>Feb!F35</f>
        <v>7955</v>
      </c>
      <c r="F42" s="11"/>
      <c r="G42" s="11"/>
      <c r="H42" s="11"/>
      <c r="I42" s="11">
        <f>Feb!F37</f>
        <v>8095</v>
      </c>
      <c r="J42" s="60">
        <f>Feb!F38</f>
        <v>9365</v>
      </c>
    </row>
    <row r="43" ht="20.25" spans="1:10">
      <c r="A43" s="1"/>
      <c r="B43" s="10" t="s">
        <v>158</v>
      </c>
      <c r="C43" s="19">
        <v>50000</v>
      </c>
      <c r="D43" s="18"/>
      <c r="E43" s="24">
        <v>12500</v>
      </c>
      <c r="F43" s="11"/>
      <c r="G43" s="11">
        <v>12500</v>
      </c>
      <c r="H43" s="11"/>
      <c r="I43" s="11">
        <v>12500</v>
      </c>
      <c r="J43" s="11">
        <v>12500</v>
      </c>
    </row>
    <row r="44" ht="24.75" spans="1:10">
      <c r="A44" s="1"/>
      <c r="B44" s="10" t="s">
        <v>159</v>
      </c>
      <c r="C44" s="28">
        <v>58000</v>
      </c>
      <c r="D44" s="18">
        <f>C44/C40</f>
        <v>0.213055137200162</v>
      </c>
      <c r="E44" s="27">
        <v>14500</v>
      </c>
      <c r="F44" s="11"/>
      <c r="G44" s="28">
        <v>14500</v>
      </c>
      <c r="H44" s="11"/>
      <c r="I44" s="29">
        <v>14500</v>
      </c>
      <c r="J44" s="11">
        <v>14500</v>
      </c>
    </row>
    <row r="45" ht="20.25" spans="1:10">
      <c r="A45" s="3"/>
      <c r="B45" s="3" t="s">
        <v>160</v>
      </c>
      <c r="C45" s="32">
        <f>SUM(C41:C44)</f>
        <v>185401.4</v>
      </c>
      <c r="D45" s="61"/>
      <c r="E45" s="32">
        <f>SUM(E41:E44)</f>
        <v>59654.4</v>
      </c>
      <c r="F45" s="32"/>
      <c r="G45" s="32">
        <f>SUM(G41:G44)</f>
        <v>40326</v>
      </c>
      <c r="H45" s="32"/>
      <c r="I45" s="32">
        <f>SUM(I41:I44)</f>
        <v>48041</v>
      </c>
      <c r="J45" s="3"/>
    </row>
    <row r="46" ht="20.25" spans="1:10">
      <c r="A46" s="1"/>
      <c r="B46" s="33" t="s">
        <v>161</v>
      </c>
      <c r="C46" s="19">
        <v>136828.6</v>
      </c>
      <c r="D46" s="18"/>
      <c r="E46" s="24">
        <f>SUM(E40-E41-E42-E44)</f>
        <v>-47154.4</v>
      </c>
      <c r="F46" s="11"/>
      <c r="G46" s="11">
        <f>SUM(G40-G41-G42-G44)</f>
        <v>-27826</v>
      </c>
      <c r="H46" s="11"/>
      <c r="I46" s="11">
        <f>SUM(I40-I41-I42-I44)</f>
        <v>-35541</v>
      </c>
      <c r="J46" s="1"/>
    </row>
    <row r="47" ht="20.25" spans="1:10">
      <c r="A47" s="1"/>
      <c r="B47" s="38" t="s">
        <v>162</v>
      </c>
      <c r="C47" s="11">
        <f>C40*0.45</f>
        <v>122503.5</v>
      </c>
      <c r="D47" s="18"/>
      <c r="E47" s="11">
        <f>E40*0.45</f>
        <v>0</v>
      </c>
      <c r="F47" s="11"/>
      <c r="G47" s="11">
        <f>G40*0.45</f>
        <v>0</v>
      </c>
      <c r="H47" s="11"/>
      <c r="I47" s="11">
        <f>I40*0.45</f>
        <v>0</v>
      </c>
      <c r="J47" s="1"/>
    </row>
    <row r="48" ht="20.25" spans="1:10">
      <c r="A48" s="8"/>
      <c r="B48" s="47" t="s">
        <v>163</v>
      </c>
      <c r="C48" s="49">
        <f>C46-C47</f>
        <v>14325.1</v>
      </c>
      <c r="D48" s="66"/>
      <c r="E48" s="49">
        <f t="shared" ref="E48:I48" si="2">E46-E47</f>
        <v>-47154.4</v>
      </c>
      <c r="F48" s="49"/>
      <c r="G48" s="49">
        <f t="shared" si="2"/>
        <v>-27826</v>
      </c>
      <c r="H48" s="49"/>
      <c r="I48" s="49">
        <f t="shared" si="2"/>
        <v>-35541</v>
      </c>
      <c r="J48" s="8"/>
    </row>
    <row r="49" ht="20.25" spans="1:10">
      <c r="A49" s="1"/>
      <c r="B49" s="1"/>
      <c r="C49" s="11"/>
      <c r="D49" s="18"/>
      <c r="E49" s="11"/>
      <c r="F49" s="11"/>
      <c r="G49" s="11"/>
      <c r="H49" s="11"/>
      <c r="I49" s="11"/>
      <c r="J49" s="1"/>
    </row>
    <row r="50" ht="20.25" spans="1:10">
      <c r="A50" s="1"/>
      <c r="B50" s="50" t="s">
        <v>164</v>
      </c>
      <c r="C50" s="11">
        <f>C16+C26+C36+C46</f>
        <v>439420.85</v>
      </c>
      <c r="D50" s="18"/>
      <c r="E50" s="11"/>
      <c r="F50" s="11"/>
      <c r="G50" s="11"/>
      <c r="H50" s="11"/>
      <c r="I50" s="11"/>
      <c r="J50" s="1"/>
    </row>
    <row r="51" ht="20.25" spans="1:10">
      <c r="A51" s="1"/>
      <c r="B51" s="51" t="s">
        <v>165</v>
      </c>
      <c r="C51" s="11"/>
      <c r="D51" s="18"/>
      <c r="E51" s="11"/>
      <c r="F51" s="11"/>
      <c r="G51" s="11"/>
      <c r="H51" s="11"/>
      <c r="I51" s="11"/>
      <c r="J51" s="1"/>
    </row>
    <row r="52" ht="20.25" spans="1:10">
      <c r="A52" s="1"/>
      <c r="B52" s="52" t="s">
        <v>166</v>
      </c>
      <c r="C52" s="11"/>
      <c r="D52" s="18"/>
      <c r="E52" s="11"/>
      <c r="F52" s="11"/>
      <c r="G52" s="11"/>
      <c r="H52" s="11"/>
      <c r="I52" s="11"/>
      <c r="J52" s="1"/>
    </row>
    <row r="53" ht="20.25" spans="1:10">
      <c r="A53" s="1"/>
      <c r="B53" s="10"/>
      <c r="C53" s="11"/>
      <c r="D53" s="18"/>
      <c r="E53" s="11"/>
      <c r="F53" s="11"/>
      <c r="G53" s="11"/>
      <c r="H53" s="11"/>
      <c r="I53" s="11"/>
      <c r="J53" s="1"/>
    </row>
    <row r="54" ht="20.25" spans="1:10">
      <c r="A54" s="53"/>
      <c r="B54" s="1" t="s">
        <v>167</v>
      </c>
      <c r="C54" s="11"/>
      <c r="D54" s="18"/>
      <c r="E54" s="11"/>
      <c r="F54" s="11"/>
      <c r="G54" s="11"/>
      <c r="H54" s="11"/>
      <c r="I54" s="11"/>
      <c r="J54" s="1"/>
    </row>
    <row r="55" ht="20.25" spans="1:10">
      <c r="A55" s="54"/>
      <c r="B55" s="1" t="s">
        <v>168</v>
      </c>
      <c r="C55" s="11"/>
      <c r="D55" s="18"/>
      <c r="E55" s="11"/>
      <c r="F55" s="11"/>
      <c r="G55" s="11"/>
      <c r="H55" s="11"/>
      <c r="I55" s="11"/>
      <c r="J55" s="1"/>
    </row>
    <row r="56" ht="20.25" spans="1:10">
      <c r="A56" s="8"/>
      <c r="B56" s="1" t="s">
        <v>169</v>
      </c>
      <c r="C56" s="11"/>
      <c r="D56" s="18"/>
      <c r="E56" s="11"/>
      <c r="F56" s="11"/>
      <c r="G56" s="11"/>
      <c r="H56" s="11"/>
      <c r="I56" s="11"/>
      <c r="J56" s="1"/>
    </row>
    <row r="57" ht="20.25" spans="1:10">
      <c r="A57" s="1"/>
      <c r="B57" s="1"/>
      <c r="C57" s="11"/>
      <c r="D57" s="18"/>
      <c r="E57" s="11"/>
      <c r="F57" s="11"/>
      <c r="G57" s="11"/>
      <c r="H57" s="11"/>
      <c r="I57" s="11"/>
      <c r="J57" s="1"/>
    </row>
    <row r="58" ht="20.25" spans="1:10">
      <c r="A58" s="1"/>
      <c r="B58" s="1"/>
      <c r="C58" s="11"/>
      <c r="D58" s="18"/>
      <c r="E58" s="11"/>
      <c r="F58" s="11"/>
      <c r="G58" s="11"/>
      <c r="H58" s="11"/>
      <c r="I58" s="11"/>
      <c r="J58" s="1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75"/>
  <sheetViews>
    <sheetView view="pageBreakPreview" zoomScaleNormal="100" topLeftCell="B6" workbookViewId="0">
      <selection activeCell="D20" sqref="D20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8.75" style="9" customWidth="1"/>
    <col min="7" max="7" width="5.375" style="9" customWidth="1"/>
    <col min="8" max="8" width="15.375" style="9" customWidth="1"/>
    <col min="9" max="9" width="5.5" style="9" customWidth="1"/>
    <col min="10" max="10" width="16.25" style="9" customWidth="1"/>
    <col min="11" max="11" width="16.125" style="9" customWidth="1"/>
    <col min="12" max="12" width="17.625" customWidth="1"/>
    <col min="13" max="13" width="17" style="9" customWidth="1"/>
    <col min="14" max="20" width="14.375" customWidth="1"/>
  </cols>
  <sheetData>
    <row r="2" s="1" customFormat="1" customHeight="1" spans="2:13">
      <c r="B2" s="10" t="s">
        <v>140</v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s">
        <v>170</v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s">
        <v>179</v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s">
        <v>143</v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s">
        <v>172</v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M8" s="11"/>
    </row>
    <row r="9" s="1" customFormat="1" customHeight="1" spans="2:13">
      <c r="D9" s="106" t="s">
        <v>149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L9" s="56" t="s">
        <v>180</v>
      </c>
      <c r="M9" s="11"/>
    </row>
    <row r="10" s="2" customFormat="1" customHeight="1" spans="2:13">
      <c r="B10" s="2" t="s">
        <v>4</v>
      </c>
      <c r="C10" s="2" t="s">
        <v>156</v>
      </c>
      <c r="D10" s="20">
        <f>SUM(F10:L10)</f>
        <v>347170</v>
      </c>
      <c r="E10" s="20"/>
      <c r="F10" s="20">
        <v>71500</v>
      </c>
      <c r="G10" s="21"/>
      <c r="H10" s="21">
        <v>93150</v>
      </c>
      <c r="I10" s="21"/>
      <c r="J10" s="21">
        <v>69150</v>
      </c>
      <c r="K10" s="21">
        <v>56620</v>
      </c>
      <c r="L10" s="21">
        <v>56750</v>
      </c>
      <c r="M10" s="21"/>
    </row>
    <row r="11" s="1" customFormat="1" customHeight="1" spans="2:13">
      <c r="C11" s="10" t="s">
        <v>0</v>
      </c>
      <c r="D11" s="22">
        <f>SUM(F11:L11)</f>
        <v>45326.3</v>
      </c>
      <c r="E11" s="23">
        <f>D11/D10</f>
        <v>0.130559380130772</v>
      </c>
      <c r="F11" s="24">
        <f>March!D5</f>
        <v>10338.8</v>
      </c>
      <c r="G11" s="11"/>
      <c r="H11" s="11">
        <f>March!D6</f>
        <v>21987.5</v>
      </c>
      <c r="I11" s="11"/>
      <c r="J11" s="11"/>
      <c r="K11" s="11">
        <v>13000</v>
      </c>
      <c r="L11" s="11"/>
      <c r="M11" s="11"/>
    </row>
    <row r="12" s="1" customFormat="1" customHeight="1" spans="2:13">
      <c r="C12" s="10" t="s">
        <v>157</v>
      </c>
      <c r="D12" s="22">
        <f>SUM(F12:L12)</f>
        <v>42268</v>
      </c>
      <c r="E12" s="23">
        <f>D12/D10</f>
        <v>0.121750151222744</v>
      </c>
      <c r="F12" s="24">
        <f>March!F5</f>
        <v>10293</v>
      </c>
      <c r="G12" s="11"/>
      <c r="H12" s="11">
        <f>March!F6</f>
        <v>12545</v>
      </c>
      <c r="I12" s="11"/>
      <c r="J12" s="11">
        <f>March!F7</f>
        <v>7555</v>
      </c>
      <c r="K12" s="11">
        <f>March!F8</f>
        <v>6290</v>
      </c>
      <c r="L12" s="11">
        <f>March!F9</f>
        <v>5585</v>
      </c>
      <c r="M12" s="11"/>
    </row>
    <row r="13" s="1" customFormat="1" customHeight="1" spans="2:13">
      <c r="C13" s="10" t="s">
        <v>158</v>
      </c>
      <c r="D13" s="22">
        <f>SUM(F13:L13)</f>
        <v>62500</v>
      </c>
      <c r="E13" s="23">
        <f>D13/D10</f>
        <v>0.180027076072241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L13" s="11">
        <v>12500</v>
      </c>
      <c r="M13" s="11"/>
    </row>
    <row r="14" s="1" customFormat="1" customHeight="1" spans="2:13">
      <c r="C14" s="10" t="s">
        <v>159</v>
      </c>
      <c r="D14" s="22">
        <f>SUM(F14:L14)</f>
        <v>72500</v>
      </c>
      <c r="E14" s="26">
        <f>D14/D10</f>
        <v>0.2088314082438</v>
      </c>
      <c r="F14" s="27">
        <v>14500</v>
      </c>
      <c r="G14" s="11"/>
      <c r="H14" s="28">
        <v>14500</v>
      </c>
      <c r="I14" s="11"/>
      <c r="J14" s="29">
        <v>14500</v>
      </c>
      <c r="K14" s="29">
        <v>14500</v>
      </c>
      <c r="L14" s="11">
        <v>14500</v>
      </c>
      <c r="M14" s="11"/>
    </row>
    <row r="15" s="3" customFormat="1" customHeight="1" spans="2:13">
      <c r="C15" s="3" t="s">
        <v>160</v>
      </c>
      <c r="D15" s="30">
        <f>SUM(D11:D14)</f>
        <v>222594.3</v>
      </c>
      <c r="E15" s="30">
        <f>D15/D10</f>
        <v>0.641168015669557</v>
      </c>
      <c r="F15" s="31">
        <f>SUM(F11:F14)</f>
        <v>47631.8</v>
      </c>
      <c r="G15" s="32"/>
      <c r="H15" s="32">
        <f>SUM(H11:H14)</f>
        <v>61532.5</v>
      </c>
      <c r="I15" s="32"/>
      <c r="J15" s="32">
        <f>SUM(J11:J14)</f>
        <v>34555</v>
      </c>
      <c r="K15" s="32">
        <f>SUM(K11:K14)</f>
        <v>46290</v>
      </c>
      <c r="L15" s="32">
        <f>SUM(L11:L14)</f>
        <v>32585</v>
      </c>
      <c r="M15" s="32"/>
    </row>
    <row r="16" s="1" customFormat="1" customHeight="1" spans="2:13">
      <c r="C16" s="33" t="s">
        <v>161</v>
      </c>
      <c r="D16" s="23">
        <f>D10-D15</f>
        <v>124575.7</v>
      </c>
      <c r="E16" s="23">
        <f>D16/D10</f>
        <v>0.358831984330443</v>
      </c>
      <c r="F16" s="24">
        <f>F10-F15</f>
        <v>23868.2</v>
      </c>
      <c r="G16" s="11"/>
      <c r="H16" s="11">
        <f>H10-H15</f>
        <v>31617.5</v>
      </c>
      <c r="I16" s="11"/>
      <c r="J16" s="11">
        <f>J10-J15</f>
        <v>34595</v>
      </c>
      <c r="K16" s="11">
        <f>K10-K15</f>
        <v>10330</v>
      </c>
      <c r="L16" s="11">
        <f>L10-L15</f>
        <v>24165</v>
      </c>
      <c r="M16" s="11"/>
    </row>
    <row r="17" s="1" customFormat="1" customHeight="1" spans="2:13">
      <c r="C17" s="34" t="s">
        <v>162</v>
      </c>
      <c r="D17" s="26">
        <f>D10*0.45</f>
        <v>156226.5</v>
      </c>
      <c r="E17" s="23">
        <f>D17/D10</f>
        <v>0.45</v>
      </c>
      <c r="F17" s="26">
        <f>F10*0.45</f>
        <v>32175</v>
      </c>
      <c r="G17" s="23"/>
      <c r="H17" s="26">
        <f>H10*0.45</f>
        <v>41917.5</v>
      </c>
      <c r="I17" s="23"/>
      <c r="J17" s="26">
        <f>J10*0.45</f>
        <v>31117.5</v>
      </c>
      <c r="K17" s="11">
        <f>K10*0.45</f>
        <v>25479</v>
      </c>
      <c r="L17" s="11">
        <f>L10*0.45</f>
        <v>25537.5</v>
      </c>
      <c r="M17" s="11"/>
    </row>
    <row r="18" s="4" customFormat="1" customHeight="1" spans="2:13">
      <c r="C18" s="35" t="s">
        <v>163</v>
      </c>
      <c r="D18" s="4">
        <f>D16-D17</f>
        <v>-31650.8</v>
      </c>
      <c r="F18" s="4">
        <f>F16-F17</f>
        <v>-8306.8</v>
      </c>
      <c r="H18" s="4">
        <f>H16-H17</f>
        <v>-10300</v>
      </c>
      <c r="J18" s="4">
        <f>J16-J17</f>
        <v>3477.5</v>
      </c>
      <c r="K18" s="4">
        <f>K16-K17</f>
        <v>-15149</v>
      </c>
      <c r="L18" s="4">
        <f>L16-L17</f>
        <v>-1372.5</v>
      </c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s">
        <v>26</v>
      </c>
      <c r="C20" s="2" t="s">
        <v>156</v>
      </c>
      <c r="D20" s="20">
        <f>SUM(F20:L20)</f>
        <v>293620</v>
      </c>
      <c r="E20" s="21"/>
      <c r="F20" s="20">
        <v>52800</v>
      </c>
      <c r="G20" s="21"/>
      <c r="H20" s="21">
        <v>25025</v>
      </c>
      <c r="I20" s="21"/>
      <c r="J20" s="21">
        <v>59845</v>
      </c>
      <c r="K20" s="21">
        <v>92800</v>
      </c>
      <c r="L20" s="21">
        <v>63150</v>
      </c>
      <c r="M20" s="21"/>
    </row>
    <row r="21" s="1" customFormat="1" customHeight="1" spans="2:13">
      <c r="C21" s="10" t="s">
        <v>0</v>
      </c>
      <c r="D21" s="22">
        <f>SUM(F21:L21)</f>
        <v>89043.9</v>
      </c>
      <c r="E21" s="36">
        <f>D21/D20</f>
        <v>0.30326237994687</v>
      </c>
      <c r="F21" s="24">
        <f>March!D15</f>
        <v>14933.9</v>
      </c>
      <c r="G21" s="11"/>
      <c r="H21" s="11"/>
      <c r="I21" s="11"/>
      <c r="J21" s="11">
        <f>March!D17</f>
        <v>16710</v>
      </c>
      <c r="K21" s="11">
        <v>23400</v>
      </c>
      <c r="L21" s="11">
        <f>March!D19</f>
        <v>34000</v>
      </c>
      <c r="M21" s="11"/>
    </row>
    <row r="22" s="1" customFormat="1" customHeight="1" spans="2:13">
      <c r="C22" s="10" t="s">
        <v>157</v>
      </c>
      <c r="D22" s="22">
        <f>SUM(F22:L22)</f>
        <v>38908</v>
      </c>
      <c r="E22" s="36">
        <f>D22/D20</f>
        <v>0.132511409304543</v>
      </c>
      <c r="F22" s="24">
        <f>March!F15</f>
        <v>8793</v>
      </c>
      <c r="G22" s="11"/>
      <c r="H22" s="11">
        <f>March!F16</f>
        <v>5870</v>
      </c>
      <c r="I22" s="11"/>
      <c r="J22" s="11">
        <f>March!F17</f>
        <v>8460</v>
      </c>
      <c r="K22" s="11">
        <f>March!F18</f>
        <v>9060</v>
      </c>
      <c r="L22" s="11">
        <f>March!F19</f>
        <v>6725</v>
      </c>
      <c r="M22" s="11"/>
    </row>
    <row r="23" s="1" customFormat="1" customHeight="1" spans="2:13">
      <c r="C23" s="10" t="s">
        <v>158</v>
      </c>
      <c r="D23" s="23">
        <v>50000</v>
      </c>
      <c r="E23" s="36">
        <f>D23/D20</f>
        <v>0.17028812751175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L23" s="11">
        <v>12500</v>
      </c>
      <c r="M23" s="11"/>
    </row>
    <row r="24" s="1" customFormat="1" customHeight="1" spans="2:13">
      <c r="C24" s="10" t="s">
        <v>159</v>
      </c>
      <c r="D24" s="26">
        <v>58000</v>
      </c>
      <c r="E24" s="36">
        <f>D24/D20</f>
        <v>0.19753422791363</v>
      </c>
      <c r="F24" s="27">
        <v>14500</v>
      </c>
      <c r="G24" s="11"/>
      <c r="H24" s="28">
        <v>14500</v>
      </c>
      <c r="I24" s="11"/>
      <c r="J24" s="29">
        <v>14500</v>
      </c>
      <c r="K24" s="29">
        <v>14500</v>
      </c>
      <c r="L24" s="11">
        <v>14500</v>
      </c>
      <c r="M24" s="11"/>
    </row>
    <row r="25" s="3" customFormat="1" customHeight="1" spans="2:13">
      <c r="C25" s="3" t="s">
        <v>160</v>
      </c>
      <c r="D25" s="30">
        <f>SUM(D21:D24)</f>
        <v>235951.9</v>
      </c>
      <c r="E25" s="37">
        <f>D25/D20</f>
        <v>0.803596144676793</v>
      </c>
      <c r="F25" s="31">
        <f>SUM(F21:F24)</f>
        <v>50726.9</v>
      </c>
      <c r="G25" s="32"/>
      <c r="H25" s="31">
        <f>SUM(H21:H24)</f>
        <v>32870</v>
      </c>
      <c r="I25" s="32"/>
      <c r="J25" s="31">
        <f>SUM(J21:J24)</f>
        <v>52170</v>
      </c>
      <c r="K25" s="32">
        <f>SUM(K21:K24)</f>
        <v>59460</v>
      </c>
      <c r="L25" s="32">
        <f>SUM(L21:L24)</f>
        <v>67725</v>
      </c>
      <c r="M25" s="32"/>
    </row>
    <row r="26" s="1" customFormat="1" customHeight="1" spans="2:13">
      <c r="C26" s="33" t="s">
        <v>161</v>
      </c>
      <c r="D26" s="23">
        <f>D20-D25</f>
        <v>57668.1</v>
      </c>
      <c r="E26" s="36">
        <f>D26/D20</f>
        <v>0.196403855323207</v>
      </c>
      <c r="F26" s="24">
        <f>F20-F25</f>
        <v>2073.1</v>
      </c>
      <c r="G26" s="11"/>
      <c r="H26" s="11">
        <f>H20-H25</f>
        <v>-7845</v>
      </c>
      <c r="I26" s="11"/>
      <c r="J26" s="11">
        <f>J20-J25</f>
        <v>7675</v>
      </c>
      <c r="K26" s="11">
        <f>K20-K25</f>
        <v>33340</v>
      </c>
      <c r="L26" s="11">
        <f>L20-L25</f>
        <v>-4575</v>
      </c>
      <c r="M26" s="11"/>
    </row>
    <row r="27" s="1" customFormat="1" customHeight="1" spans="2:13">
      <c r="C27" s="38" t="s">
        <v>162</v>
      </c>
      <c r="D27" s="26">
        <f>D20*0.45</f>
        <v>132129</v>
      </c>
      <c r="E27" s="36">
        <f>D27/D20</f>
        <v>0.45</v>
      </c>
      <c r="F27" s="26">
        <f t="shared" ref="F27:L27" si="0">F20*0.45</f>
        <v>23760</v>
      </c>
      <c r="G27" s="23"/>
      <c r="H27" s="26">
        <f t="shared" si="0"/>
        <v>11261.25</v>
      </c>
      <c r="I27" s="23"/>
      <c r="J27" s="26">
        <f t="shared" si="0"/>
        <v>26930.25</v>
      </c>
      <c r="K27" s="11">
        <f t="shared" si="0"/>
        <v>41760</v>
      </c>
      <c r="L27" s="11">
        <f t="shared" si="0"/>
        <v>28417.5</v>
      </c>
      <c r="M27" s="11"/>
    </row>
    <row r="28" s="5" customFormat="1" customHeight="1" spans="2:13">
      <c r="C28" s="39" t="s">
        <v>163</v>
      </c>
      <c r="D28" s="4">
        <f>D26-D27</f>
        <v>-74460.9</v>
      </c>
      <c r="E28" s="4"/>
      <c r="F28" s="4">
        <f t="shared" ref="F28:L28" si="1">F26-F27</f>
        <v>-21686.9</v>
      </c>
      <c r="G28" s="4"/>
      <c r="H28" s="4">
        <f t="shared" si="1"/>
        <v>-19106.25</v>
      </c>
      <c r="I28" s="4"/>
      <c r="J28" s="4">
        <f t="shared" si="1"/>
        <v>-19255.25</v>
      </c>
      <c r="K28" s="4">
        <f t="shared" si="1"/>
        <v>-8420</v>
      </c>
      <c r="L28" s="4">
        <f t="shared" si="1"/>
        <v>-32992.5</v>
      </c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s">
        <v>28</v>
      </c>
      <c r="C30" s="40" t="s">
        <v>156</v>
      </c>
      <c r="D30" s="21">
        <f>SUM(F30:L30)</f>
        <v>398870</v>
      </c>
      <c r="E30" s="41"/>
      <c r="F30" s="55">
        <v>129900</v>
      </c>
      <c r="G30" s="42"/>
      <c r="H30" s="42">
        <v>40625</v>
      </c>
      <c r="I30" s="43"/>
      <c r="J30" s="43">
        <v>68345</v>
      </c>
      <c r="K30" s="43">
        <v>46850</v>
      </c>
      <c r="L30" s="43">
        <v>113150</v>
      </c>
      <c r="M30" s="43"/>
    </row>
    <row r="31" s="1" customFormat="1" customHeight="1" spans="2:13">
      <c r="C31" s="10" t="s">
        <v>0</v>
      </c>
      <c r="D31" s="22">
        <f>SUM(F31:L31)</f>
        <v>113936.15</v>
      </c>
      <c r="E31" s="36">
        <f>D31/D30</f>
        <v>0.285647328703588</v>
      </c>
      <c r="F31" s="24">
        <f>March!D24</f>
        <v>21426.9</v>
      </c>
      <c r="G31" s="11"/>
      <c r="H31" s="44"/>
      <c r="I31" s="11"/>
      <c r="J31" s="11">
        <f>March!D26</f>
        <v>18909.25</v>
      </c>
      <c r="K31" s="11">
        <v>48100</v>
      </c>
      <c r="L31" s="11">
        <f>March!D28</f>
        <v>25500</v>
      </c>
      <c r="M31" s="11"/>
    </row>
    <row r="32" s="1" customFormat="1" customHeight="1" spans="2:13">
      <c r="C32" s="10" t="s">
        <v>157</v>
      </c>
      <c r="D32" s="22">
        <f>SUM(F32:L32)</f>
        <v>37488</v>
      </c>
      <c r="E32" s="36">
        <f>D32/D30</f>
        <v>0.0939855090631033</v>
      </c>
      <c r="F32" s="24">
        <f>March!F24</f>
        <v>11378</v>
      </c>
      <c r="G32" s="11"/>
      <c r="H32" s="11">
        <f>March!F16</f>
        <v>5870</v>
      </c>
      <c r="I32" s="11"/>
      <c r="J32" s="11">
        <f>March!F17</f>
        <v>8460</v>
      </c>
      <c r="K32" s="11">
        <f>March!F27</f>
        <v>7110</v>
      </c>
      <c r="L32" s="11">
        <f>March!F28</f>
        <v>4670</v>
      </c>
      <c r="M32" s="11"/>
    </row>
    <row r="33" s="1" customFormat="1" customHeight="1" spans="2:13">
      <c r="C33" s="10" t="s">
        <v>158</v>
      </c>
      <c r="D33" s="23">
        <v>50000</v>
      </c>
      <c r="E33" s="36">
        <f>D33/D30</f>
        <v>0.125354125404267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L33" s="11">
        <v>12500</v>
      </c>
      <c r="M33" s="11"/>
    </row>
    <row r="34" s="1" customFormat="1" customHeight="1" spans="2:13">
      <c r="C34" s="10" t="s">
        <v>159</v>
      </c>
      <c r="D34" s="26">
        <v>58000</v>
      </c>
      <c r="E34" s="36">
        <f>D34/D30</f>
        <v>0.14541078546895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L34" s="11">
        <v>14500</v>
      </c>
      <c r="M34" s="11"/>
    </row>
    <row r="35" s="7" customFormat="1" customHeight="1" spans="2:13">
      <c r="C35" s="3" t="s">
        <v>160</v>
      </c>
      <c r="D35" s="30">
        <f>SUM(D31:D34)</f>
        <v>259424.15</v>
      </c>
      <c r="E35" s="45">
        <f>D35/D30</f>
        <v>0.650397748639908</v>
      </c>
      <c r="F35" s="32">
        <f>SUM(F31:F34)</f>
        <v>59804.9</v>
      </c>
      <c r="G35" s="46"/>
      <c r="H35" s="32">
        <f>SUM(H31:H34)</f>
        <v>32870</v>
      </c>
      <c r="I35" s="46"/>
      <c r="J35" s="32">
        <f>SUM(J31:J34)</f>
        <v>54369.25</v>
      </c>
      <c r="K35" s="46">
        <f>SUM(K31:K34)</f>
        <v>82210</v>
      </c>
      <c r="L35" s="46">
        <f>SUM(L31:L34)</f>
        <v>57170</v>
      </c>
      <c r="M35" s="46"/>
    </row>
    <row r="36" s="1" customFormat="1" customHeight="1" spans="2:13">
      <c r="C36" s="33" t="s">
        <v>161</v>
      </c>
      <c r="D36" s="22">
        <f>D30-D35</f>
        <v>139445.85</v>
      </c>
      <c r="E36" s="36">
        <f>D36/D30</f>
        <v>0.349602251360092</v>
      </c>
      <c r="F36" s="24">
        <f>F30-F35</f>
        <v>70095.1</v>
      </c>
      <c r="G36" s="11"/>
      <c r="H36" s="11">
        <f>H30-H35</f>
        <v>7755</v>
      </c>
      <c r="I36" s="11"/>
      <c r="J36" s="11">
        <f>J30-J35</f>
        <v>13975.75</v>
      </c>
      <c r="K36" s="11">
        <f>K30-K35</f>
        <v>-35360</v>
      </c>
      <c r="L36" s="11">
        <f>L30-L35</f>
        <v>55980</v>
      </c>
      <c r="M36" s="11"/>
    </row>
    <row r="37" s="1" customFormat="1" customHeight="1" spans="2:13">
      <c r="C37" s="38" t="s">
        <v>162</v>
      </c>
      <c r="D37" s="26">
        <f>D30*0.45</f>
        <v>179491.5</v>
      </c>
      <c r="E37" s="36">
        <f>D37/D30</f>
        <v>0.45</v>
      </c>
      <c r="F37" s="26">
        <f>F30*0.45</f>
        <v>58455</v>
      </c>
      <c r="G37" s="11"/>
      <c r="H37" s="26">
        <f>H30*0.45</f>
        <v>18281.25</v>
      </c>
      <c r="I37" s="11"/>
      <c r="J37" s="26">
        <f>J30*0.45</f>
        <v>30755.25</v>
      </c>
      <c r="K37" s="11">
        <f>K30*0.45</f>
        <v>21082.5</v>
      </c>
      <c r="L37" s="11">
        <f>L30*0.45</f>
        <v>50917.5</v>
      </c>
      <c r="M37" s="11"/>
    </row>
    <row r="38" s="8" customFormat="1" customHeight="1" spans="2:13">
      <c r="C38" s="47" t="s">
        <v>163</v>
      </c>
      <c r="D38" s="4">
        <f>SUM(D36-D37)</f>
        <v>-40045.65</v>
      </c>
      <c r="E38" s="48"/>
      <c r="F38" s="4">
        <f>SUM(F36-F37)</f>
        <v>11640.1</v>
      </c>
      <c r="G38" s="49"/>
      <c r="H38" s="4">
        <f>SUM(H36-H37)</f>
        <v>-10526.25</v>
      </c>
      <c r="I38" s="49"/>
      <c r="J38" s="4">
        <f>SUM(J36-J37)</f>
        <v>-16779.5</v>
      </c>
      <c r="K38" s="49">
        <f>SUM(K36-K37)</f>
        <v>-56442.5</v>
      </c>
      <c r="L38" s="49">
        <f>L36-L37</f>
        <v>5062.5</v>
      </c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s">
        <v>30</v>
      </c>
      <c r="C40" s="40" t="s">
        <v>156</v>
      </c>
      <c r="D40" s="21">
        <f>SUM(F40:L40)</f>
        <v>275905</v>
      </c>
      <c r="E40" s="41"/>
      <c r="F40" s="55">
        <v>80400</v>
      </c>
      <c r="G40" s="42"/>
      <c r="H40" s="42">
        <v>56600</v>
      </c>
      <c r="I40" s="43"/>
      <c r="J40" s="43">
        <v>58185</v>
      </c>
      <c r="K40" s="43">
        <v>48670</v>
      </c>
      <c r="L40" s="43">
        <v>32050</v>
      </c>
      <c r="M40" s="43"/>
    </row>
    <row r="41" s="1" customFormat="1" customHeight="1" spans="2:13">
      <c r="C41" s="10" t="s">
        <v>0</v>
      </c>
      <c r="D41" s="23">
        <f>SUM(F41:L41)</f>
        <v>63508.75</v>
      </c>
      <c r="E41" s="36">
        <f>D41/D40</f>
        <v>0.230183396458926</v>
      </c>
      <c r="F41" s="24">
        <f>March!D33</f>
        <v>19479</v>
      </c>
      <c r="G41" s="11"/>
      <c r="H41" s="11"/>
      <c r="I41" s="11"/>
      <c r="J41" s="11">
        <f>March!D35</f>
        <v>18029.75</v>
      </c>
      <c r="K41" s="11">
        <v>26000</v>
      </c>
      <c r="L41" s="11"/>
      <c r="M41" s="11"/>
    </row>
    <row r="42" s="1" customFormat="1" customHeight="1" spans="2:13">
      <c r="C42" s="10" t="s">
        <v>157</v>
      </c>
      <c r="D42" s="23">
        <f>SUM(F42:L42)</f>
        <v>41286</v>
      </c>
      <c r="E42" s="36">
        <f>D42/D40</f>
        <v>0.149638462514271</v>
      </c>
      <c r="F42" s="24">
        <f>March!F33</f>
        <v>9096.5</v>
      </c>
      <c r="G42" s="11"/>
      <c r="H42" s="11">
        <f>March!F34</f>
        <v>8733.5</v>
      </c>
      <c r="I42" s="11"/>
      <c r="J42" s="11">
        <f>March!F35</f>
        <v>10381</v>
      </c>
      <c r="K42" s="11">
        <f>March!F36</f>
        <v>7410</v>
      </c>
      <c r="L42" s="11">
        <f>March!F37</f>
        <v>5665</v>
      </c>
      <c r="M42" s="11"/>
    </row>
    <row r="43" s="1" customFormat="1" customHeight="1" spans="2:13">
      <c r="C43" s="10" t="s">
        <v>158</v>
      </c>
      <c r="D43" s="23">
        <v>50000</v>
      </c>
      <c r="E43" s="36">
        <f>D43/D40</f>
        <v>0.181221797357786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L43" s="11">
        <v>12500</v>
      </c>
      <c r="M43" s="11"/>
    </row>
    <row r="44" s="1" customFormat="1" customHeight="1" spans="2:13">
      <c r="C44" s="10" t="s">
        <v>159</v>
      </c>
      <c r="D44" s="26">
        <v>58000</v>
      </c>
      <c r="E44" s="36">
        <f>D44/D40</f>
        <v>0.210217284935032</v>
      </c>
      <c r="F44" s="27">
        <v>14500</v>
      </c>
      <c r="G44" s="11"/>
      <c r="H44" s="28">
        <v>14500</v>
      </c>
      <c r="I44" s="11"/>
      <c r="J44" s="29">
        <v>14500</v>
      </c>
      <c r="K44" s="11">
        <v>14500</v>
      </c>
      <c r="L44" s="11">
        <v>14500</v>
      </c>
      <c r="M44" s="11"/>
    </row>
    <row r="45" s="3" customFormat="1" customHeight="1" spans="2:13">
      <c r="C45" s="3" t="s">
        <v>160</v>
      </c>
      <c r="D45" s="30">
        <f>SUM(D41:D44)</f>
        <v>212794.75</v>
      </c>
      <c r="E45" s="32">
        <f>D45/D40</f>
        <v>0.771260941266016</v>
      </c>
      <c r="F45" s="32">
        <f>SUM(F41:F44)</f>
        <v>55575.5</v>
      </c>
      <c r="G45" s="32"/>
      <c r="H45" s="32">
        <f>SUM(H41:H44)</f>
        <v>35733.5</v>
      </c>
      <c r="I45" s="32"/>
      <c r="J45" s="32">
        <f>SUM(J41:J44)</f>
        <v>55410.75</v>
      </c>
      <c r="K45" s="32">
        <f>SUM(K41:K44)</f>
        <v>60410</v>
      </c>
      <c r="L45" s="32">
        <f>SUM(L41:L44)</f>
        <v>32665</v>
      </c>
      <c r="M45" s="32"/>
    </row>
    <row r="46" s="1" customFormat="1" customHeight="1" spans="2:13">
      <c r="C46" s="33" t="s">
        <v>161</v>
      </c>
      <c r="D46" s="23">
        <f>D40-D45</f>
        <v>63110.25</v>
      </c>
      <c r="E46" s="36">
        <f>D46/D40</f>
        <v>0.228739058733985</v>
      </c>
      <c r="F46" s="24">
        <f>F40-F45</f>
        <v>24824.5</v>
      </c>
      <c r="G46" s="11"/>
      <c r="H46" s="11">
        <f>H40-H45</f>
        <v>20866.5</v>
      </c>
      <c r="I46" s="11"/>
      <c r="J46" s="11">
        <f>J40-J45</f>
        <v>2774.25</v>
      </c>
      <c r="K46" s="11">
        <f>K40-K45</f>
        <v>-11740</v>
      </c>
      <c r="L46" s="11">
        <f>L40-L45</f>
        <v>-615</v>
      </c>
      <c r="M46" s="11"/>
    </row>
    <row r="47" s="1" customFormat="1" customHeight="1" spans="2:13">
      <c r="C47" s="38" t="s">
        <v>162</v>
      </c>
      <c r="D47" s="29">
        <f>D40*0.45</f>
        <v>124157.25</v>
      </c>
      <c r="E47" s="11">
        <f>D47/D40</f>
        <v>0.45</v>
      </c>
      <c r="F47" s="29">
        <f>F40*0.45</f>
        <v>36180</v>
      </c>
      <c r="G47" s="11"/>
      <c r="H47" s="29">
        <f>H40*0.45</f>
        <v>25470</v>
      </c>
      <c r="I47" s="11"/>
      <c r="J47" s="29">
        <f>J40*0.45</f>
        <v>26183.25</v>
      </c>
      <c r="K47" s="11">
        <f>K40*0.45</f>
        <v>21901.5</v>
      </c>
      <c r="L47" s="11">
        <f>L40*0.45</f>
        <v>14422.5</v>
      </c>
      <c r="M47" s="11"/>
    </row>
    <row r="48" s="8" customFormat="1" customHeight="1" spans="2:13">
      <c r="C48" s="47" t="s">
        <v>163</v>
      </c>
      <c r="D48" s="49">
        <f>D46-D47</f>
        <v>-61047</v>
      </c>
      <c r="E48" s="49"/>
      <c r="F48" s="49">
        <f t="shared" ref="F48:H48" si="2">F46-F47</f>
        <v>-11355.5</v>
      </c>
      <c r="G48" s="49"/>
      <c r="H48" s="49">
        <f t="shared" si="2"/>
        <v>-4603.5</v>
      </c>
      <c r="I48" s="49"/>
      <c r="J48" s="49">
        <f>SUM(J46-J47)</f>
        <v>-23409</v>
      </c>
      <c r="K48" s="49">
        <f>K46-K47</f>
        <v>-33641.5</v>
      </c>
      <c r="L48" s="49">
        <f>L46-L47</f>
        <v>-15037.5</v>
      </c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s">
        <v>3</v>
      </c>
      <c r="D50" s="11">
        <f>D10+D20+D30+D40</f>
        <v>1315565</v>
      </c>
      <c r="E50" s="11"/>
      <c r="F50" s="11">
        <f>D50</f>
        <v>1315565</v>
      </c>
      <c r="G50" s="11"/>
      <c r="H50" s="11"/>
      <c r="I50" s="11"/>
      <c r="J50" s="11"/>
      <c r="K50" s="11"/>
      <c r="M50" s="11"/>
    </row>
    <row r="51" s="1" customFormat="1" customHeight="1" spans="2:13">
      <c r="C51" s="1" t="s">
        <v>181</v>
      </c>
      <c r="D51" s="11">
        <f>D11+D21+D31+D41</f>
        <v>311815.1</v>
      </c>
      <c r="E51" s="11"/>
      <c r="F51" s="11">
        <v>328009</v>
      </c>
      <c r="G51" s="11"/>
      <c r="H51" s="11"/>
      <c r="I51" s="11"/>
      <c r="J51" s="11"/>
      <c r="K51" s="11"/>
      <c r="M51" s="11"/>
    </row>
    <row r="52" s="1" customFormat="1" customHeight="1" spans="2:13">
      <c r="C52" s="1" t="s">
        <v>1</v>
      </c>
      <c r="D52" s="11">
        <f>D12+D22+D32+D42</f>
        <v>159950</v>
      </c>
      <c r="E52" s="11"/>
      <c r="F52" s="11">
        <f>D52</f>
        <v>159950</v>
      </c>
      <c r="G52" s="11"/>
      <c r="H52" s="11"/>
      <c r="I52" s="11"/>
      <c r="J52" s="11"/>
      <c r="K52" s="11"/>
      <c r="M52" s="11"/>
    </row>
    <row r="53" s="1" customFormat="1" customHeight="1" spans="2:13">
      <c r="C53" s="1" t="s">
        <v>182</v>
      </c>
      <c r="D53" s="11">
        <f>D13+D23+D33+D43</f>
        <v>212500</v>
      </c>
      <c r="E53" s="11"/>
      <c r="F53" s="11">
        <f>D53</f>
        <v>212500</v>
      </c>
      <c r="G53" s="11"/>
      <c r="H53" s="11"/>
      <c r="I53" s="11"/>
      <c r="J53" s="11"/>
      <c r="K53" s="11"/>
      <c r="M53" s="11"/>
    </row>
    <row r="54" s="1" customFormat="1" customHeight="1" spans="2:13">
      <c r="C54" s="1" t="s">
        <v>2</v>
      </c>
      <c r="D54" s="11">
        <f>D14+D24+D34+D44</f>
        <v>246500</v>
      </c>
      <c r="E54" s="11"/>
      <c r="F54" s="11">
        <f>D54</f>
        <v>246500</v>
      </c>
      <c r="G54" s="11"/>
      <c r="H54" s="11"/>
      <c r="I54" s="11"/>
      <c r="J54" s="11"/>
      <c r="K54" s="11"/>
      <c r="M54" s="11"/>
    </row>
    <row r="55" s="1" customFormat="1" customHeight="1" spans="2:13">
      <c r="C55" s="1" t="s">
        <v>183</v>
      </c>
      <c r="D55" s="11">
        <f>SUM(D51:D54)</f>
        <v>930765.1</v>
      </c>
      <c r="E55" s="11"/>
      <c r="F55" s="11">
        <f>SUM(F51:F54)</f>
        <v>946959</v>
      </c>
      <c r="G55" s="11"/>
      <c r="H55" s="11"/>
      <c r="I55" s="11"/>
      <c r="J55" s="11"/>
      <c r="K55" s="11"/>
      <c r="M55" s="11"/>
    </row>
    <row r="56" s="1" customFormat="1" customHeight="1" spans="2:13">
      <c r="D56" s="11">
        <f>D50-D55</f>
        <v>384799.9</v>
      </c>
      <c r="E56" s="11"/>
      <c r="F56" s="11">
        <f>F50-F55</f>
        <v>368606</v>
      </c>
      <c r="G56" s="11"/>
      <c r="H56" s="11"/>
      <c r="I56" s="11"/>
      <c r="J56" s="11"/>
      <c r="K56" s="11"/>
      <c r="M56" s="11"/>
    </row>
    <row r="57" s="1" customFormat="1" customHeight="1" spans="2:13">
      <c r="C57" s="50" t="s">
        <v>164</v>
      </c>
      <c r="D57" s="11">
        <f>SUM(D16+D26+D36+D46)</f>
        <v>384799.9</v>
      </c>
      <c r="E57" s="11"/>
      <c r="F57" s="11">
        <f>D56-D57</f>
        <v>0</v>
      </c>
      <c r="G57" s="11"/>
      <c r="H57" s="11"/>
      <c r="I57" s="11"/>
      <c r="J57" s="11"/>
      <c r="K57" s="11"/>
      <c r="M57" s="11"/>
    </row>
    <row r="58" s="1" customFormat="1" customHeight="1" spans="2:13">
      <c r="C58" s="51" t="s">
        <v>165</v>
      </c>
      <c r="D58" s="11">
        <v>160000</v>
      </c>
      <c r="E58" s="11"/>
      <c r="F58" s="11">
        <v>160000</v>
      </c>
      <c r="G58" s="11"/>
      <c r="H58" s="11"/>
      <c r="I58" s="11"/>
      <c r="J58" s="11"/>
      <c r="K58" s="11"/>
      <c r="M58" s="11"/>
    </row>
    <row r="59" s="1" customFormat="1" customHeight="1" spans="2:13">
      <c r="C59" s="52" t="s">
        <v>166</v>
      </c>
      <c r="D59" s="11">
        <f>D57-D58</f>
        <v>224799.9</v>
      </c>
      <c r="E59" s="11"/>
      <c r="F59" s="11">
        <f>F56-F58</f>
        <v>208606</v>
      </c>
      <c r="G59" s="11"/>
      <c r="H59" s="11"/>
      <c r="I59" s="11"/>
      <c r="J59" s="11"/>
      <c r="K59" s="11"/>
      <c r="M59" s="11"/>
    </row>
    <row r="60" s="1" customFormat="1" customHeight="1" spans="2:13">
      <c r="C60" s="10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B61" s="53"/>
      <c r="C61" s="1" t="s">
        <v>167</v>
      </c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B62" s="54"/>
      <c r="C62" s="1" t="s">
        <v>168</v>
      </c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8"/>
      <c r="C63" s="1" t="s">
        <v>169</v>
      </c>
      <c r="D63" s="11"/>
      <c r="E63" s="11"/>
      <c r="F63" s="11"/>
      <c r="G63" s="11"/>
      <c r="H63" s="11"/>
      <c r="I63" s="11"/>
      <c r="J63" s="11"/>
      <c r="K63" s="11"/>
      <c r="M63" s="11"/>
    </row>
    <row r="64" s="1" customFormat="1" customHeight="1" spans="2:13">
      <c r="D64" s="11"/>
      <c r="E64" s="11"/>
      <c r="F64" s="11"/>
      <c r="G64" s="11"/>
      <c r="H64" s="11"/>
      <c r="I64" s="11"/>
      <c r="J64" s="11"/>
      <c r="K64" s="11"/>
      <c r="M64" s="11"/>
    </row>
    <row r="65" s="1" customFormat="1" customHeight="1" spans="4:13">
      <c r="D65" s="11"/>
      <c r="E65" s="11"/>
      <c r="F65" s="11"/>
      <c r="G65" s="11"/>
      <c r="H65" s="11"/>
      <c r="I65" s="11"/>
      <c r="J65" s="11"/>
      <c r="K65" s="11"/>
      <c r="M65" s="11"/>
    </row>
    <row r="66" s="1" customFormat="1" customHeight="1" spans="4:13">
      <c r="D66" s="11"/>
      <c r="E66" s="11"/>
      <c r="F66" s="11"/>
      <c r="G66" s="11"/>
      <c r="H66" s="11"/>
      <c r="I66" s="11"/>
      <c r="J66" s="11"/>
      <c r="K66" s="11"/>
      <c r="M66" s="11"/>
    </row>
    <row r="67" s="1" customFormat="1" customHeight="1" spans="4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4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4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4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4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4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4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4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4:13">
      <c r="D75" s="11"/>
      <c r="E75" s="11"/>
      <c r="F75" s="11"/>
      <c r="G75" s="11"/>
      <c r="H75" s="11"/>
      <c r="I75" s="11"/>
      <c r="J75" s="11"/>
      <c r="K75" s="11"/>
      <c r="M75" s="11"/>
    </row>
  </sheetData>
  <pageMargins left="1" right="1" top="1" bottom="1" header="0.5" footer="0.5"/>
  <pageSetup paperSize="9" scale="64" fitToHeight="0" orientation="landscape"/>
  <headerFooter/>
  <rowBreaks count="1" manualBreakCount="1">
    <brk id="29" max="11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77"/>
  <sheetViews>
    <sheetView topLeftCell="B7" workbookViewId="0">
      <selection activeCell="F71" sqref="F71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5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s">
        <v>140</v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s">
        <v>170</v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s">
        <v>184</v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s">
        <v>143</v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s">
        <v>172</v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M8" s="11"/>
    </row>
    <row r="9" s="1" customFormat="1" customHeight="1" spans="2:13">
      <c r="D9" s="106" t="s">
        <v>150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M9" s="11"/>
    </row>
    <row r="10" s="2" customFormat="1" customHeight="1" spans="2:13">
      <c r="B10" s="2" t="s">
        <v>4</v>
      </c>
      <c r="C10" s="2" t="s">
        <v>156</v>
      </c>
      <c r="D10" s="20">
        <f>SUM(F10:K10)</f>
        <v>279115</v>
      </c>
      <c r="E10" s="20"/>
      <c r="F10" s="20">
        <v>117950</v>
      </c>
      <c r="G10" s="21"/>
      <c r="H10" s="21">
        <v>22155</v>
      </c>
      <c r="I10" s="21"/>
      <c r="J10" s="21">
        <v>99890</v>
      </c>
      <c r="K10" s="21">
        <v>39120</v>
      </c>
      <c r="M10" s="21"/>
    </row>
    <row r="11" s="1" customFormat="1" customHeight="1" spans="2:13">
      <c r="C11" s="10" t="s">
        <v>0</v>
      </c>
      <c r="D11" s="22">
        <f t="shared" ref="D11:D12" si="0">SUM(F11:K11)</f>
        <v>111498</v>
      </c>
      <c r="E11" s="23">
        <f>D11/D10</f>
        <v>0.399469752610931</v>
      </c>
      <c r="F11" s="24">
        <f>'April '!D5</f>
        <v>51000</v>
      </c>
      <c r="G11" s="11"/>
      <c r="H11" s="11">
        <f>'April '!D6</f>
        <v>22500</v>
      </c>
      <c r="I11" s="11"/>
      <c r="J11" s="11">
        <f>'April '!D7</f>
        <v>20392</v>
      </c>
      <c r="K11" s="11">
        <f>May!D8</f>
        <v>17606</v>
      </c>
      <c r="M11" s="11"/>
    </row>
    <row r="12" s="1" customFormat="1" customHeight="1" spans="2:13">
      <c r="C12" s="10" t="s">
        <v>157</v>
      </c>
      <c r="D12" s="22">
        <f t="shared" si="0"/>
        <v>23085</v>
      </c>
      <c r="E12" s="23">
        <f>D12/D10</f>
        <v>0.0827078444368809</v>
      </c>
      <c r="F12" s="24">
        <f>'April '!G5</f>
        <v>5360</v>
      </c>
      <c r="G12" s="11"/>
      <c r="H12" s="11">
        <f>'April '!G6</f>
        <v>3280</v>
      </c>
      <c r="I12" s="11"/>
      <c r="J12" s="11">
        <f>'April '!G7</f>
        <v>8305</v>
      </c>
      <c r="K12" s="11">
        <f>'April '!G8</f>
        <v>6140</v>
      </c>
      <c r="M12" s="11"/>
    </row>
    <row r="13" s="1" customFormat="1" customHeight="1" spans="2:13">
      <c r="C13" s="10" t="s">
        <v>158</v>
      </c>
      <c r="D13" s="22">
        <v>50000</v>
      </c>
      <c r="E13" s="23">
        <f>D13/D10</f>
        <v>0.179137631442237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M13" s="11"/>
    </row>
    <row r="14" s="1" customFormat="1" customHeight="1" spans="2:13">
      <c r="C14" s="10" t="s">
        <v>159</v>
      </c>
      <c r="D14" s="25">
        <v>58000</v>
      </c>
      <c r="E14" s="26">
        <f>D14/D10</f>
        <v>0.207799652472995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M14" s="11"/>
    </row>
    <row r="15" s="3" customFormat="1" customHeight="1" spans="2:13">
      <c r="C15" s="3" t="s">
        <v>160</v>
      </c>
      <c r="D15" s="30">
        <f>SUM(D11:D14)</f>
        <v>242583</v>
      </c>
      <c r="E15" s="30">
        <f>D15/D10</f>
        <v>0.869114880963044</v>
      </c>
      <c r="F15" s="31">
        <f>SUM(F11:F14)</f>
        <v>83360</v>
      </c>
      <c r="G15" s="32"/>
      <c r="H15" s="32">
        <f>SUM(H11:H14)</f>
        <v>52780</v>
      </c>
      <c r="I15" s="32"/>
      <c r="J15" s="32">
        <f>SUM(J11:J14)</f>
        <v>55697</v>
      </c>
      <c r="K15" s="32">
        <f>SUM(K11:K14)</f>
        <v>50746</v>
      </c>
      <c r="M15" s="32"/>
    </row>
    <row r="16" s="1" customFormat="1" customHeight="1" spans="2:13">
      <c r="C16" s="33" t="s">
        <v>161</v>
      </c>
      <c r="D16" s="23">
        <f>D10-D15</f>
        <v>36532</v>
      </c>
      <c r="E16" s="23">
        <f>D16/D10</f>
        <v>0.130885119036956</v>
      </c>
      <c r="F16" s="24">
        <f>SUM(F10-F11-F12-F14)</f>
        <v>47090</v>
      </c>
      <c r="G16" s="11"/>
      <c r="H16" s="11">
        <f>SUM(H10-H11-H12-H14)</f>
        <v>-18125</v>
      </c>
      <c r="I16" s="11"/>
      <c r="J16" s="11">
        <f>SUM(J10-J11-J12-J14)</f>
        <v>56693</v>
      </c>
      <c r="K16" s="11">
        <f>SUM(K10-K11-K12-K13-K14)</f>
        <v>-11626</v>
      </c>
      <c r="M16" s="11"/>
    </row>
    <row r="17" s="1" customFormat="1" customHeight="1" spans="2:13">
      <c r="C17" s="34" t="s">
        <v>162</v>
      </c>
      <c r="D17" s="26">
        <f>D10*0.45</f>
        <v>125601.75</v>
      </c>
      <c r="E17" s="23">
        <f>D17/D10</f>
        <v>0.45</v>
      </c>
      <c r="F17" s="26">
        <f>F10*0.45</f>
        <v>53077.5</v>
      </c>
      <c r="G17" s="23"/>
      <c r="H17" s="26">
        <f>H10*0.45</f>
        <v>9969.75</v>
      </c>
      <c r="I17" s="23"/>
      <c r="J17" s="26">
        <f>J10*0.45</f>
        <v>44950.5</v>
      </c>
      <c r="K17" s="11">
        <f>K10*0.45</f>
        <v>17604</v>
      </c>
      <c r="M17" s="11"/>
    </row>
    <row r="18" s="4" customFormat="1" customHeight="1" spans="2:13">
      <c r="C18" s="35" t="s">
        <v>163</v>
      </c>
      <c r="D18" s="4">
        <f>D16-D17</f>
        <v>-89069.75</v>
      </c>
      <c r="F18" s="4">
        <f>F16-F17</f>
        <v>-5987.5</v>
      </c>
      <c r="H18" s="4">
        <f>H16-H17</f>
        <v>-28094.75</v>
      </c>
      <c r="J18" s="4">
        <f>J16-J17</f>
        <v>11742.5</v>
      </c>
      <c r="K18" s="4">
        <f>K16-K17</f>
        <v>-29230</v>
      </c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s">
        <v>26</v>
      </c>
      <c r="C20" s="2" t="s">
        <v>156</v>
      </c>
      <c r="D20" s="21">
        <f>SUM(F20:K20)</f>
        <v>207205</v>
      </c>
      <c r="E20" s="21"/>
      <c r="F20" s="20">
        <v>65150</v>
      </c>
      <c r="G20" s="21"/>
      <c r="H20" s="21">
        <v>33655</v>
      </c>
      <c r="I20" s="21"/>
      <c r="J20" s="21">
        <v>60470</v>
      </c>
      <c r="K20" s="21">
        <v>47930</v>
      </c>
      <c r="M20" s="21"/>
    </row>
    <row r="21" s="1" customFormat="1" customHeight="1" spans="2:13">
      <c r="C21" s="10" t="s">
        <v>0</v>
      </c>
      <c r="D21" s="23">
        <f>SUM(F21:K21)</f>
        <v>45120</v>
      </c>
      <c r="E21" s="36">
        <f>D21/D20</f>
        <v>0.217755363046259</v>
      </c>
      <c r="F21" s="24">
        <f>'April '!D15</f>
        <v>4500</v>
      </c>
      <c r="G21" s="11"/>
      <c r="H21" s="11">
        <f>'April '!D16</f>
        <v>22500</v>
      </c>
      <c r="I21" s="11"/>
      <c r="J21" s="11">
        <f>May!D17</f>
        <v>0</v>
      </c>
      <c r="K21" s="11">
        <f>'April '!D18</f>
        <v>18120</v>
      </c>
      <c r="M21" s="11"/>
    </row>
    <row r="22" s="1" customFormat="1" customHeight="1" spans="2:13">
      <c r="C22" s="10" t="s">
        <v>157</v>
      </c>
      <c r="D22" s="23">
        <f>SUM(F22:K22)</f>
        <v>23535</v>
      </c>
      <c r="E22" s="36">
        <f>D22/D20</f>
        <v>0.113583166429382</v>
      </c>
      <c r="F22" s="24">
        <f>'April '!G15</f>
        <v>4895</v>
      </c>
      <c r="G22" s="11"/>
      <c r="H22" s="11">
        <f>'April '!G16</f>
        <v>4750</v>
      </c>
      <c r="I22" s="11"/>
      <c r="J22" s="11">
        <f>'April '!G17</f>
        <v>7750</v>
      </c>
      <c r="K22" s="11">
        <f>'April '!G18</f>
        <v>6140</v>
      </c>
      <c r="M22" s="11"/>
    </row>
    <row r="23" s="1" customFormat="1" customHeight="1" spans="2:13">
      <c r="C23" s="10" t="s">
        <v>158</v>
      </c>
      <c r="D23" s="23">
        <v>50000</v>
      </c>
      <c r="E23" s="36">
        <f>D23/D20</f>
        <v>0.241306918269347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M23" s="11"/>
    </row>
    <row r="24" s="1" customFormat="1" customHeight="1" spans="2:13">
      <c r="C24" s="10" t="s">
        <v>159</v>
      </c>
      <c r="D24" s="26">
        <v>58000</v>
      </c>
      <c r="E24" s="36">
        <f>D24/D20</f>
        <v>0.279916025192442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M24" s="11"/>
    </row>
    <row r="25" s="3" customFormat="1" customHeight="1" spans="2:13">
      <c r="C25" s="3" t="s">
        <v>160</v>
      </c>
      <c r="D25" s="32">
        <f>SUM(D21:D24)</f>
        <v>176655</v>
      </c>
      <c r="E25" s="37">
        <f>D25/D20</f>
        <v>0.852561472937429</v>
      </c>
      <c r="F25" s="31">
        <f>SUM(F21:F24)</f>
        <v>36395</v>
      </c>
      <c r="G25" s="32"/>
      <c r="H25" s="31">
        <f>SUM(H21:H24)</f>
        <v>54250</v>
      </c>
      <c r="I25" s="32"/>
      <c r="J25" s="31">
        <f>SUM(J21:J24)</f>
        <v>34750</v>
      </c>
      <c r="K25" s="32">
        <f>SUM(K21:K24)</f>
        <v>51260</v>
      </c>
      <c r="M25" s="32"/>
    </row>
    <row r="26" s="1" customFormat="1" customHeight="1" spans="2:13">
      <c r="C26" s="33" t="s">
        <v>161</v>
      </c>
      <c r="D26" s="23">
        <f>D20-D25</f>
        <v>30550</v>
      </c>
      <c r="E26" s="36">
        <f>D26/D20</f>
        <v>0.147438527062571</v>
      </c>
      <c r="F26" s="24">
        <f>SUM(F20-F21-F22-F24)</f>
        <v>41255</v>
      </c>
      <c r="G26" s="11"/>
      <c r="H26" s="11">
        <f>SUM(H20-H21-H22-H24)</f>
        <v>-8095</v>
      </c>
      <c r="I26" s="11"/>
      <c r="J26" s="11">
        <f>SUM(J20-J21-J22-J24)</f>
        <v>38220</v>
      </c>
      <c r="K26" s="11">
        <f>SUM(K20-K21-K22-K23-K24)</f>
        <v>-3330</v>
      </c>
      <c r="M26" s="11"/>
    </row>
    <row r="27" s="1" customFormat="1" customHeight="1" spans="2:13">
      <c r="C27" s="38" t="s">
        <v>162</v>
      </c>
      <c r="D27" s="26">
        <f>D20*0.45</f>
        <v>93242.25</v>
      </c>
      <c r="E27" s="36">
        <f>D27/D20</f>
        <v>0.45</v>
      </c>
      <c r="F27" s="26">
        <f t="shared" ref="F27:K27" si="1">F20*0.45</f>
        <v>29317.5</v>
      </c>
      <c r="G27" s="23"/>
      <c r="H27" s="26">
        <f t="shared" si="1"/>
        <v>15144.75</v>
      </c>
      <c r="I27" s="23"/>
      <c r="J27" s="26">
        <f t="shared" si="1"/>
        <v>27211.5</v>
      </c>
      <c r="K27" s="29">
        <f t="shared" si="1"/>
        <v>21568.5</v>
      </c>
      <c r="M27" s="11"/>
    </row>
    <row r="28" s="5" customFormat="1" customHeight="1" spans="2:13">
      <c r="C28" s="39" t="s">
        <v>163</v>
      </c>
      <c r="D28" s="4">
        <f>D26-D27</f>
        <v>-62692.25</v>
      </c>
      <c r="E28" s="4"/>
      <c r="F28" s="4">
        <f t="shared" ref="F28:K28" si="2">F26-F27</f>
        <v>11937.5</v>
      </c>
      <c r="G28" s="4"/>
      <c r="H28" s="4">
        <f t="shared" si="2"/>
        <v>-23239.75</v>
      </c>
      <c r="I28" s="4"/>
      <c r="J28" s="4">
        <f t="shared" si="2"/>
        <v>11008.5</v>
      </c>
      <c r="K28" s="4">
        <f t="shared" si="2"/>
        <v>-24898.5</v>
      </c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s">
        <v>28</v>
      </c>
      <c r="C30" s="40" t="s">
        <v>156</v>
      </c>
      <c r="D30" s="21">
        <f>SUM(F30:K30)</f>
        <v>275750</v>
      </c>
      <c r="E30" s="41"/>
      <c r="F30" s="55">
        <v>119150</v>
      </c>
      <c r="G30" s="42"/>
      <c r="H30" s="42">
        <v>10615</v>
      </c>
      <c r="I30" s="43"/>
      <c r="J30" s="43">
        <v>65375</v>
      </c>
      <c r="K30" s="43">
        <v>80610</v>
      </c>
      <c r="M30" s="43"/>
    </row>
    <row r="31" s="1" customFormat="1" customHeight="1" spans="2:13">
      <c r="C31" s="10" t="s">
        <v>0</v>
      </c>
      <c r="D31" s="23">
        <f>SUM(F31:K31)</f>
        <v>45870</v>
      </c>
      <c r="E31" s="36">
        <f>D31/D30</f>
        <v>0.16634632819583</v>
      </c>
      <c r="F31" s="24">
        <f>'April '!D24</f>
        <v>8250</v>
      </c>
      <c r="G31" s="11"/>
      <c r="H31" s="44">
        <f>'April '!D25</f>
        <v>19500</v>
      </c>
      <c r="I31" s="11"/>
      <c r="J31" s="11">
        <f>'April '!B26</f>
        <v>0</v>
      </c>
      <c r="K31" s="11">
        <f>'April '!D27</f>
        <v>18120</v>
      </c>
      <c r="M31" s="11"/>
    </row>
    <row r="32" s="1" customFormat="1" customHeight="1" spans="2:13">
      <c r="C32" s="10" t="s">
        <v>157</v>
      </c>
      <c r="D32" s="23">
        <f>SUM(F32:K32)</f>
        <v>28630</v>
      </c>
      <c r="E32" s="36">
        <f>D32/D30</f>
        <v>0.103825929283772</v>
      </c>
      <c r="F32" s="24">
        <f>'April '!G24</f>
        <v>6245</v>
      </c>
      <c r="G32" s="11"/>
      <c r="H32" s="11">
        <f>'April '!G25</f>
        <v>4955</v>
      </c>
      <c r="I32" s="11"/>
      <c r="J32" s="11">
        <f>'April '!G26</f>
        <v>7910</v>
      </c>
      <c r="K32" s="11">
        <f>'April '!G27</f>
        <v>9520</v>
      </c>
      <c r="M32" s="11"/>
    </row>
    <row r="33" s="1" customFormat="1" customHeight="1" spans="2:13">
      <c r="C33" s="10" t="s">
        <v>158</v>
      </c>
      <c r="D33" s="23">
        <v>50000</v>
      </c>
      <c r="E33" s="36">
        <f>D33/D30</f>
        <v>0.181323662737987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M33" s="11"/>
    </row>
    <row r="34" s="1" customFormat="1" customHeight="1" spans="2:13">
      <c r="C34" s="10" t="s">
        <v>159</v>
      </c>
      <c r="D34" s="26">
        <v>58000</v>
      </c>
      <c r="E34" s="36">
        <f>D34/D30</f>
        <v>0.210335448776065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M34" s="11"/>
    </row>
    <row r="35" s="7" customFormat="1" customHeight="1" spans="2:13">
      <c r="C35" s="3" t="s">
        <v>160</v>
      </c>
      <c r="D35" s="32">
        <f>SUM(D31:D34)</f>
        <v>182500</v>
      </c>
      <c r="E35" s="45">
        <f>D35/D30</f>
        <v>0.661831368993654</v>
      </c>
      <c r="F35" s="32">
        <f>SUM(F31:F34)</f>
        <v>41495</v>
      </c>
      <c r="G35" s="46"/>
      <c r="H35" s="32">
        <f>SUM(H31:H34)</f>
        <v>51455</v>
      </c>
      <c r="I35" s="46"/>
      <c r="J35" s="32">
        <f>SUM(J31:J34)</f>
        <v>34910</v>
      </c>
      <c r="K35" s="46">
        <f>K31:K31</f>
        <v>18120</v>
      </c>
      <c r="M35" s="46"/>
    </row>
    <row r="36" s="1" customFormat="1" customHeight="1" spans="2:13">
      <c r="C36" s="33" t="s">
        <v>161</v>
      </c>
      <c r="D36" s="19">
        <f>SUM(F36:J36)</f>
        <v>104780</v>
      </c>
      <c r="E36" s="36">
        <f>D36/D30</f>
        <v>0.379981867633726</v>
      </c>
      <c r="F36" s="24">
        <f>SUM(F30-F31-F32-F34)</f>
        <v>90155</v>
      </c>
      <c r="G36" s="11"/>
      <c r="H36" s="11">
        <f>SUM(H30-H31-H32-H34)</f>
        <v>-28340</v>
      </c>
      <c r="I36" s="11"/>
      <c r="J36" s="11">
        <f>SUM(J30-J31-J32-J34)</f>
        <v>42965</v>
      </c>
      <c r="K36" s="11">
        <f>SUM(K30-K31-K32-K33-K34)</f>
        <v>25970</v>
      </c>
      <c r="M36" s="11"/>
    </row>
    <row r="37" s="1" customFormat="1" customHeight="1" spans="2:13">
      <c r="C37" s="38" t="s">
        <v>162</v>
      </c>
      <c r="D37" s="26">
        <f>D30*0.45</f>
        <v>124087.5</v>
      </c>
      <c r="E37" s="36">
        <f>D37/D30</f>
        <v>0.45</v>
      </c>
      <c r="F37" s="26">
        <f>F30*0.45</f>
        <v>53617.5</v>
      </c>
      <c r="G37" s="11"/>
      <c r="H37" s="26">
        <f>H30*0.45</f>
        <v>4776.75</v>
      </c>
      <c r="I37" s="11"/>
      <c r="J37" s="26">
        <f>J30*0.45</f>
        <v>29418.75</v>
      </c>
      <c r="K37" s="29">
        <f>K30*0.45</f>
        <v>36274.5</v>
      </c>
      <c r="M37" s="11"/>
    </row>
    <row r="38" s="8" customFormat="1" customHeight="1" spans="2:13">
      <c r="C38" s="47" t="s">
        <v>163</v>
      </c>
      <c r="D38" s="4">
        <f>SUM(D36-D37)</f>
        <v>-19307.5</v>
      </c>
      <c r="E38" s="48"/>
      <c r="F38" s="4">
        <f>SUM(F36-F37)</f>
        <v>36537.5</v>
      </c>
      <c r="G38" s="49"/>
      <c r="H38" s="4">
        <f>SUM(H36-H37)</f>
        <v>-33116.75</v>
      </c>
      <c r="I38" s="49"/>
      <c r="J38" s="4">
        <f>SUM(J36-J37)</f>
        <v>13546.25</v>
      </c>
      <c r="K38" s="49">
        <f>K36-K37</f>
        <v>-10304.5</v>
      </c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s">
        <v>30</v>
      </c>
      <c r="C40" s="40" t="s">
        <v>156</v>
      </c>
      <c r="D40" s="21">
        <f>SUM(F40:K40)</f>
        <v>226860</v>
      </c>
      <c r="E40" s="41"/>
      <c r="F40" s="55">
        <v>92050</v>
      </c>
      <c r="G40" s="42"/>
      <c r="H40" s="42">
        <v>59370</v>
      </c>
      <c r="I40" s="43"/>
      <c r="J40" s="43">
        <v>52960</v>
      </c>
      <c r="K40" s="43">
        <v>22480</v>
      </c>
      <c r="M40" s="43"/>
    </row>
    <row r="41" s="1" customFormat="1" customHeight="1" spans="2:13">
      <c r="C41" s="10" t="s">
        <v>0</v>
      </c>
      <c r="D41" s="23">
        <f>SUM(F41:K41)</f>
        <v>36892</v>
      </c>
      <c r="E41" s="36">
        <f>D41/D40</f>
        <v>0.162620118134532</v>
      </c>
      <c r="F41" s="24">
        <f>'April '!D333</f>
        <v>0</v>
      </c>
      <c r="G41" s="11"/>
      <c r="H41" s="11">
        <f>'April '!D34</f>
        <v>16500</v>
      </c>
      <c r="I41" s="11"/>
      <c r="J41" s="11">
        <f>'April '!D35</f>
        <v>20392</v>
      </c>
      <c r="K41" s="11">
        <f>'April '!D36</f>
        <v>0</v>
      </c>
      <c r="M41" s="11"/>
    </row>
    <row r="42" s="1" customFormat="1" customHeight="1" spans="2:13">
      <c r="C42" s="10" t="s">
        <v>157</v>
      </c>
      <c r="D42" s="23">
        <f>SUM(F42:K42)</f>
        <v>31550</v>
      </c>
      <c r="E42" s="36">
        <f>D42/D40</f>
        <v>0.139072555761262</v>
      </c>
      <c r="F42" s="24">
        <f>'April '!G33</f>
        <v>9150</v>
      </c>
      <c r="G42" s="11"/>
      <c r="H42" s="11">
        <f>'April '!G34</f>
        <v>6250</v>
      </c>
      <c r="I42" s="11"/>
      <c r="J42" s="11">
        <f>'April '!G35</f>
        <v>9440</v>
      </c>
      <c r="K42" s="11">
        <f>'April '!G36</f>
        <v>6710</v>
      </c>
      <c r="M42" s="11"/>
    </row>
    <row r="43" s="1" customFormat="1" customHeight="1" spans="2:13">
      <c r="C43" s="10" t="s">
        <v>158</v>
      </c>
      <c r="D43" s="23">
        <v>50000</v>
      </c>
      <c r="E43" s="36">
        <f>D43/D40</f>
        <v>0.220400246848276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M43" s="11"/>
    </row>
    <row r="44" s="1" customFormat="1" customHeight="1" spans="2:13">
      <c r="C44" s="10" t="s">
        <v>159</v>
      </c>
      <c r="D44" s="26">
        <v>58000</v>
      </c>
      <c r="E44" s="36">
        <f>D44/D40</f>
        <v>0.255664286344001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M44" s="11"/>
    </row>
    <row r="45" s="3" customFormat="1" customHeight="1" spans="2:13">
      <c r="C45" s="3" t="s">
        <v>160</v>
      </c>
      <c r="D45" s="32">
        <f>SUM(D41:D44)</f>
        <v>176442</v>
      </c>
      <c r="E45" s="32">
        <f>D45/D40</f>
        <v>0.777757207088072</v>
      </c>
      <c r="F45" s="32">
        <f>SUM(F41:F44)</f>
        <v>36150</v>
      </c>
      <c r="G45" s="32"/>
      <c r="H45" s="32">
        <f>SUM(H41:H44)</f>
        <v>49750</v>
      </c>
      <c r="I45" s="32"/>
      <c r="J45" s="32">
        <f>SUM(J41:J44)</f>
        <v>56832</v>
      </c>
      <c r="K45" s="32">
        <f>SUM(K41:K41)</f>
        <v>0</v>
      </c>
      <c r="M45" s="32"/>
    </row>
    <row r="46" s="1" customFormat="1" customHeight="1" spans="2:13">
      <c r="C46" s="33" t="s">
        <v>161</v>
      </c>
      <c r="D46" s="23">
        <f>D40-D45</f>
        <v>50418</v>
      </c>
      <c r="E46" s="36">
        <f>D46/D40</f>
        <v>0.222242792911928</v>
      </c>
      <c r="F46" s="24">
        <f>SUM(F40-F41-F42-F44)</f>
        <v>68400</v>
      </c>
      <c r="G46" s="11"/>
      <c r="H46" s="11">
        <f>SUM(H40-H41-H42-H44)</f>
        <v>22120</v>
      </c>
      <c r="I46" s="11"/>
      <c r="J46" s="11">
        <f>SUM(J40-J41-J42-J44)</f>
        <v>8628</v>
      </c>
      <c r="K46" s="11">
        <f>SUM(K40-K41-K42-K43-K44)</f>
        <v>-11230</v>
      </c>
      <c r="M46" s="11"/>
    </row>
    <row r="47" s="1" customFormat="1" customHeight="1" spans="2:13">
      <c r="C47" s="38" t="s">
        <v>162</v>
      </c>
      <c r="D47" s="29">
        <f>D40*0.45</f>
        <v>102087</v>
      </c>
      <c r="E47" s="11">
        <f>D47/D40</f>
        <v>0.45</v>
      </c>
      <c r="F47" s="29">
        <f>F40*0.45</f>
        <v>41422.5</v>
      </c>
      <c r="G47" s="11"/>
      <c r="H47" s="29">
        <f>H40*0.45</f>
        <v>26716.5</v>
      </c>
      <c r="I47" s="11"/>
      <c r="J47" s="29">
        <f>J40*0.45</f>
        <v>23832</v>
      </c>
      <c r="K47" s="11">
        <f>K40*0.45</f>
        <v>10116</v>
      </c>
      <c r="M47" s="11"/>
    </row>
    <row r="48" s="8" customFormat="1" customHeight="1" spans="2:13">
      <c r="C48" s="47" t="s">
        <v>163</v>
      </c>
      <c r="D48" s="49">
        <f>D46-D47</f>
        <v>-51669</v>
      </c>
      <c r="E48" s="49"/>
      <c r="F48" s="49">
        <f t="shared" ref="F48:J48" si="3">F46-F47</f>
        <v>26977.5</v>
      </c>
      <c r="G48" s="49"/>
      <c r="H48" s="49">
        <f t="shared" si="3"/>
        <v>-4596.5</v>
      </c>
      <c r="I48" s="49"/>
      <c r="J48" s="49">
        <f t="shared" si="3"/>
        <v>-15204</v>
      </c>
      <c r="K48" s="49">
        <f>K47-K46</f>
        <v>21346</v>
      </c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s">
        <v>3</v>
      </c>
      <c r="D50" s="11">
        <f>D10+D20+D30+D40</f>
        <v>988930</v>
      </c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s">
        <v>181</v>
      </c>
      <c r="D51" s="11">
        <f>D11+D21+D31+D41</f>
        <v>239380</v>
      </c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s">
        <v>1</v>
      </c>
      <c r="D52" s="11">
        <f>D12+D22+D32+D42</f>
        <v>106800</v>
      </c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s">
        <v>182</v>
      </c>
      <c r="D53" s="11">
        <f>D13+D23+D33+D43</f>
        <v>200000</v>
      </c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s">
        <v>2</v>
      </c>
      <c r="D54" s="11">
        <f>D14+D24+D34+D44</f>
        <v>232000</v>
      </c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s">
        <v>183</v>
      </c>
      <c r="D55" s="11">
        <f>SUM(D51:D54)</f>
        <v>778180</v>
      </c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>
        <f>D50-D55</f>
        <v>210750</v>
      </c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s">
        <v>164</v>
      </c>
      <c r="D57" s="11">
        <f>D16+D26+D36+D46</f>
        <v>222280</v>
      </c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s">
        <v>166</v>
      </c>
      <c r="D59" s="11">
        <f>D57-D58</f>
        <v>62280</v>
      </c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s">
        <v>167</v>
      </c>
      <c r="D63" s="11"/>
      <c r="E63" s="11"/>
      <c r="F63" s="11" t="s">
        <v>185</v>
      </c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s">
        <v>168</v>
      </c>
      <c r="D64" s="11"/>
      <c r="E64" s="11"/>
      <c r="F64" s="11" t="s">
        <v>186</v>
      </c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s">
        <v>169</v>
      </c>
      <c r="D65" s="11"/>
      <c r="E65" s="11"/>
      <c r="F65" s="11" t="s">
        <v>187</v>
      </c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/>
      <c r="E66" s="11"/>
      <c r="F66" s="11" t="s">
        <v>188</v>
      </c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/>
      <c r="E67" s="11"/>
      <c r="F67" s="11"/>
      <c r="G67" s="11"/>
      <c r="H67" s="11" t="s">
        <v>189</v>
      </c>
      <c r="I67" s="11"/>
      <c r="J67" s="11"/>
      <c r="K67" s="11"/>
      <c r="M67" s="11"/>
    </row>
    <row r="68" s="1" customFormat="1" customHeight="1" spans="2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6" fitToHeight="0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77"/>
  <sheetViews>
    <sheetView topLeftCell="B5" workbookViewId="0">
      <selection activeCell="D10" sqref="D10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s">
        <v>140</v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s">
        <v>170</v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s">
        <v>190</v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s">
        <v>143</v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s">
        <v>172</v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M8" s="11"/>
    </row>
    <row r="9" s="1" customFormat="1" customHeight="1" spans="2:13">
      <c r="D9" s="106" t="s">
        <v>151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M9" s="11"/>
    </row>
    <row r="10" s="2" customFormat="1" customHeight="1" spans="2:13">
      <c r="B10" s="2" t="s">
        <v>4</v>
      </c>
      <c r="C10" s="2" t="s">
        <v>156</v>
      </c>
      <c r="D10" s="20">
        <f>SUM(F10:K10)</f>
        <v>255425</v>
      </c>
      <c r="E10" s="20"/>
      <c r="F10" s="20">
        <v>70695</v>
      </c>
      <c r="G10" s="21"/>
      <c r="H10" s="21">
        <v>129090</v>
      </c>
      <c r="I10" s="21"/>
      <c r="J10" s="21">
        <f>-J11-J12-J13-J14</f>
        <v>-36660</v>
      </c>
      <c r="K10" s="21">
        <v>92300</v>
      </c>
      <c r="M10" s="21"/>
    </row>
    <row r="11" s="1" customFormat="1" customHeight="1" spans="2:13">
      <c r="C11" s="10" t="s">
        <v>0</v>
      </c>
      <c r="D11" s="22">
        <f t="shared" ref="D11:D12" si="0">SUM(F11:K11)</f>
        <v>35726</v>
      </c>
      <c r="E11" s="23">
        <f>D11/D10</f>
        <v>0.139868846040912</v>
      </c>
      <c r="F11" s="24">
        <f>May!D5</f>
        <v>0</v>
      </c>
      <c r="G11" s="11"/>
      <c r="H11" s="24">
        <f>May!D6</f>
        <v>18120</v>
      </c>
      <c r="I11" s="11"/>
      <c r="J11" s="11">
        <f>May!D7</f>
        <v>0</v>
      </c>
      <c r="K11" s="11">
        <f>May!D8</f>
        <v>17606</v>
      </c>
      <c r="M11" s="11"/>
    </row>
    <row r="12" s="1" customFormat="1" customHeight="1" spans="2:13">
      <c r="C12" s="10" t="s">
        <v>157</v>
      </c>
      <c r="D12" s="22">
        <f t="shared" si="0"/>
        <v>38080</v>
      </c>
      <c r="E12" s="23">
        <f>D12/D10</f>
        <v>0.149084858569052</v>
      </c>
      <c r="F12" s="24">
        <f>May!G5</f>
        <v>7655</v>
      </c>
      <c r="G12" s="11"/>
      <c r="H12" s="11">
        <f>May!G6</f>
        <v>10620</v>
      </c>
      <c r="I12" s="11"/>
      <c r="J12" s="11">
        <f>May!G7</f>
        <v>9660</v>
      </c>
      <c r="K12" s="11">
        <f>May!G8</f>
        <v>10145</v>
      </c>
      <c r="M12" s="11"/>
    </row>
    <row r="13" s="1" customFormat="1" customHeight="1" spans="2:13">
      <c r="C13" s="10" t="s">
        <v>158</v>
      </c>
      <c r="D13" s="22">
        <v>50000</v>
      </c>
      <c r="E13" s="23">
        <f>D13/D10</f>
        <v>0.195752177742977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M13" s="11"/>
    </row>
    <row r="14" s="1" customFormat="1" customHeight="1" spans="2:13">
      <c r="C14" s="10" t="s">
        <v>159</v>
      </c>
      <c r="D14" s="25">
        <v>58000</v>
      </c>
      <c r="E14" s="26">
        <f>D14/D10</f>
        <v>0.227072526181854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M14" s="11"/>
    </row>
    <row r="15" s="3" customFormat="1" customHeight="1" spans="2:13">
      <c r="C15" s="3" t="s">
        <v>160</v>
      </c>
      <c r="D15" s="30">
        <f>SUM(D11:D14)</f>
        <v>181806</v>
      </c>
      <c r="E15" s="30">
        <f>D15/D10</f>
        <v>0.711778408534795</v>
      </c>
      <c r="F15" s="31">
        <f>SUM(F11:F14)</f>
        <v>34655</v>
      </c>
      <c r="G15" s="32"/>
      <c r="H15" s="32">
        <f>SUM(H11:H14)</f>
        <v>55740</v>
      </c>
      <c r="I15" s="32"/>
      <c r="J15" s="32">
        <f>SUM(J11:J14)</f>
        <v>36660</v>
      </c>
      <c r="K15" s="32">
        <f>SUM(K11:K14)</f>
        <v>54751</v>
      </c>
      <c r="M15" s="32"/>
    </row>
    <row r="16" s="1" customFormat="1" customHeight="1" spans="2:13">
      <c r="C16" s="33" t="s">
        <v>161</v>
      </c>
      <c r="D16" s="23">
        <f>D10-D15</f>
        <v>73619</v>
      </c>
      <c r="E16" s="23">
        <f>D16/D10</f>
        <v>0.288221591465205</v>
      </c>
      <c r="F16" s="24">
        <f>SUM(F10-F11-F12-F14)</f>
        <v>48540</v>
      </c>
      <c r="G16" s="11"/>
      <c r="H16" s="11" t="e" cm="1">
        <f t="array" ref="H16">_xleta.SUM</f>
        <v>#NAME?</v>
      </c>
      <c r="I16" s="11"/>
      <c r="J16" s="11" t="e" cm="1">
        <f t="array" ref="J16">_xleta.SUM</f>
        <v>#NAME?</v>
      </c>
      <c r="K16" s="11">
        <f>SUM(K10-K11-K12-K13-K14)</f>
        <v>37549</v>
      </c>
      <c r="M16" s="11"/>
    </row>
    <row r="17" s="1" customFormat="1" customHeight="1" spans="2:13">
      <c r="C17" s="34" t="s">
        <v>162</v>
      </c>
      <c r="D17" s="26">
        <f>D10*0.45</f>
        <v>114941.25</v>
      </c>
      <c r="E17" s="23">
        <f>D17/D10</f>
        <v>0.45</v>
      </c>
      <c r="F17" s="26">
        <f>F10*0.45</f>
        <v>31812.75</v>
      </c>
      <c r="G17" s="23"/>
      <c r="H17" s="26">
        <f>H10*0.45</f>
        <v>58090.5</v>
      </c>
      <c r="I17" s="23"/>
      <c r="J17" s="26">
        <f>J10*0.45</f>
        <v>-16497</v>
      </c>
      <c r="K17" s="11">
        <f>K10*0.45</f>
        <v>41535</v>
      </c>
      <c r="M17" s="11"/>
    </row>
    <row r="18" s="4" customFormat="1" customHeight="1" spans="2:13">
      <c r="C18" s="35" t="s">
        <v>163</v>
      </c>
      <c r="D18" s="4">
        <f>D16-D17</f>
        <v>-41322.25</v>
      </c>
      <c r="F18" s="4">
        <f>F16-F17</f>
        <v>16727.25</v>
      </c>
      <c r="H18" s="4" t="e">
        <f>H16-H17</f>
        <v>#NAME?</v>
      </c>
      <c r="J18" s="4" t="e">
        <f>J16-J17</f>
        <v>#NAME?</v>
      </c>
      <c r="K18" s="4">
        <f>K16-K17</f>
        <v>-3986</v>
      </c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s">
        <v>26</v>
      </c>
      <c r="C20" s="2" t="s">
        <v>156</v>
      </c>
      <c r="D20" s="21">
        <f>SUM(F20:K20)</f>
        <v>36990</v>
      </c>
      <c r="E20" s="21"/>
      <c r="F20" s="20">
        <v>36990</v>
      </c>
      <c r="G20" s="21"/>
      <c r="H20" s="21"/>
      <c r="I20" s="21"/>
      <c r="J20" s="21"/>
      <c r="K20" s="21"/>
      <c r="M20" s="21"/>
    </row>
    <row r="21" s="1" customFormat="1" customHeight="1" spans="2:13">
      <c r="C21" s="10" t="s">
        <v>0</v>
      </c>
      <c r="D21" s="23">
        <f>SUM(F21:K21)</f>
        <v>13590</v>
      </c>
      <c r="E21" s="36">
        <f>D21/D20</f>
        <v>0.367396593673966</v>
      </c>
      <c r="F21" s="24">
        <f>May!D15</f>
        <v>13590</v>
      </c>
      <c r="G21" s="11"/>
      <c r="H21" s="24">
        <f>May!D16</f>
        <v>0</v>
      </c>
      <c r="I21" s="11"/>
      <c r="J21" s="11">
        <f>May!D17</f>
        <v>0</v>
      </c>
      <c r="K21" s="11">
        <f>May!D18</f>
        <v>0</v>
      </c>
      <c r="M21" s="11"/>
    </row>
    <row r="22" s="1" customFormat="1" customHeight="1" spans="2:13">
      <c r="C22" s="10" t="s">
        <v>157</v>
      </c>
      <c r="D22" s="23">
        <f>SUM(F22:K22)</f>
        <v>5570</v>
      </c>
      <c r="E22" s="36">
        <f>D22/D20</f>
        <v>0.150581238172479</v>
      </c>
      <c r="F22" s="24">
        <f>May!G15</f>
        <v>5570</v>
      </c>
      <c r="G22" s="11"/>
      <c r="H22" s="11">
        <f>May!G16</f>
        <v>0</v>
      </c>
      <c r="I22" s="11"/>
      <c r="J22" s="11">
        <f>May!G17</f>
        <v>0</v>
      </c>
      <c r="K22" s="11">
        <f>May!G18</f>
        <v>0</v>
      </c>
      <c r="M22" s="11"/>
    </row>
    <row r="23" s="1" customFormat="1" customHeight="1" spans="2:13">
      <c r="C23" s="10" t="s">
        <v>158</v>
      </c>
      <c r="D23" s="23">
        <v>50000</v>
      </c>
      <c r="E23" s="36">
        <f>D23/D20</f>
        <v>1.35171668018383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M23" s="11"/>
    </row>
    <row r="24" s="1" customFormat="1" customHeight="1" spans="2:13">
      <c r="C24" s="10" t="s">
        <v>159</v>
      </c>
      <c r="D24" s="26">
        <v>58000</v>
      </c>
      <c r="E24" s="36">
        <f>D24/D20</f>
        <v>1.56799134901325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M24" s="11"/>
    </row>
    <row r="25" s="3" customFormat="1" customHeight="1" spans="2:13">
      <c r="C25" s="3" t="s">
        <v>160</v>
      </c>
      <c r="D25" s="32">
        <f>SUM(D21:D24)</f>
        <v>127160</v>
      </c>
      <c r="E25" s="37">
        <f>D25/D20</f>
        <v>3.43768586104353</v>
      </c>
      <c r="F25" s="31">
        <f>SUM(F21:F24)</f>
        <v>46160</v>
      </c>
      <c r="G25" s="32"/>
      <c r="H25" s="31">
        <f>SUM(H21:H24)</f>
        <v>27000</v>
      </c>
      <c r="I25" s="32"/>
      <c r="J25" s="31">
        <f>SUM(J21:J24)</f>
        <v>27000</v>
      </c>
      <c r="K25" s="32">
        <f>SUM(K21:K24)</f>
        <v>27000</v>
      </c>
      <c r="M25" s="32"/>
    </row>
    <row r="26" s="1" customFormat="1" customHeight="1" spans="2:13">
      <c r="C26" s="33" t="s">
        <v>161</v>
      </c>
      <c r="D26" s="23">
        <f>D20-D25</f>
        <v>-90170</v>
      </c>
      <c r="E26" s="36">
        <f>D26/D20</f>
        <v>-2.43768586104353</v>
      </c>
      <c r="F26" s="24">
        <f>SUM(F20-F21-F22-F24)</f>
        <v>3330</v>
      </c>
      <c r="G26" s="11"/>
      <c r="H26" s="11">
        <f>SUM(H20-H21-H22-H24)</f>
        <v>-14500</v>
      </c>
      <c r="I26" s="11"/>
      <c r="J26" s="11">
        <f>SUM(J20-J21-J22-J24)</f>
        <v>-14500</v>
      </c>
      <c r="K26" s="11">
        <f>SUM(K20-K21-K22-K23-K24)</f>
        <v>-27000</v>
      </c>
      <c r="M26" s="11"/>
    </row>
    <row r="27" s="1" customFormat="1" customHeight="1" spans="2:13">
      <c r="C27" s="38" t="s">
        <v>162</v>
      </c>
      <c r="D27" s="26">
        <f>D20*0.45</f>
        <v>16645.5</v>
      </c>
      <c r="E27" s="36">
        <f>D27/D20</f>
        <v>0.45</v>
      </c>
      <c r="F27" s="26">
        <f t="shared" ref="F27:K27" si="1">F20*0.45</f>
        <v>16645.5</v>
      </c>
      <c r="G27" s="23"/>
      <c r="H27" s="26">
        <f t="shared" si="1"/>
        <v>0</v>
      </c>
      <c r="I27" s="23"/>
      <c r="J27" s="26">
        <f t="shared" si="1"/>
        <v>0</v>
      </c>
      <c r="K27" s="29">
        <f t="shared" si="1"/>
        <v>0</v>
      </c>
      <c r="M27" s="11"/>
    </row>
    <row r="28" s="5" customFormat="1" customHeight="1" spans="2:13">
      <c r="C28" s="39" t="s">
        <v>163</v>
      </c>
      <c r="D28" s="4">
        <f>D26-D27</f>
        <v>-106815.5</v>
      </c>
      <c r="E28" s="4"/>
      <c r="F28" s="4">
        <f t="shared" ref="F28:K28" si="2">F26-F27</f>
        <v>-13315.5</v>
      </c>
      <c r="G28" s="4"/>
      <c r="H28" s="4">
        <f t="shared" si="2"/>
        <v>-14500</v>
      </c>
      <c r="I28" s="4"/>
      <c r="J28" s="4">
        <f t="shared" si="2"/>
        <v>-14500</v>
      </c>
      <c r="K28" s="4">
        <f t="shared" si="2"/>
        <v>-27000</v>
      </c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s">
        <v>28</v>
      </c>
      <c r="C30" s="40" t="s">
        <v>156</v>
      </c>
      <c r="D30" s="21">
        <f>SUM(F30:K30)</f>
        <v>225885</v>
      </c>
      <c r="E30" s="41"/>
      <c r="F30" s="55">
        <v>48680</v>
      </c>
      <c r="G30" s="42"/>
      <c r="H30" s="42">
        <v>112140</v>
      </c>
      <c r="I30" s="43"/>
      <c r="J30" s="43">
        <v>43065</v>
      </c>
      <c r="K30" s="43">
        <v>22000</v>
      </c>
      <c r="M30" s="43"/>
    </row>
    <row r="31" s="1" customFormat="1" customHeight="1" spans="2:13">
      <c r="C31" s="10" t="s">
        <v>0</v>
      </c>
      <c r="D31" s="23">
        <f>SUM(F31:K31)</f>
        <v>53203.5</v>
      </c>
      <c r="E31" s="36">
        <f>D31/D30</f>
        <v>0.235533567966</v>
      </c>
      <c r="F31" s="24">
        <f>May!D24</f>
        <v>0</v>
      </c>
      <c r="G31" s="11"/>
      <c r="H31" s="44">
        <f>May!D25</f>
        <v>13590</v>
      </c>
      <c r="I31" s="11"/>
      <c r="J31" s="11">
        <f>May!D26</f>
        <v>22007.5</v>
      </c>
      <c r="K31" s="11">
        <f>May!D27</f>
        <v>17606</v>
      </c>
      <c r="M31" s="11"/>
    </row>
    <row r="32" s="1" customFormat="1" customHeight="1" spans="2:13">
      <c r="C32" s="10" t="s">
        <v>157</v>
      </c>
      <c r="D32" s="23">
        <f>SUM(F32:K32)</f>
        <v>27305</v>
      </c>
      <c r="E32" s="36">
        <f>D32/D30</f>
        <v>0.120880093853067</v>
      </c>
      <c r="F32" s="24">
        <f>May!G24</f>
        <v>6425</v>
      </c>
      <c r="G32" s="11"/>
      <c r="H32" s="11">
        <f>May!G25</f>
        <v>6550</v>
      </c>
      <c r="I32" s="11"/>
      <c r="J32" s="11">
        <f>May!G26</f>
        <v>11300</v>
      </c>
      <c r="K32" s="11">
        <f>May!G27</f>
        <v>3030</v>
      </c>
      <c r="M32" s="11"/>
    </row>
    <row r="33" s="1" customFormat="1" customHeight="1" spans="2:13">
      <c r="C33" s="10" t="s">
        <v>158</v>
      </c>
      <c r="D33" s="23">
        <v>50000</v>
      </c>
      <c r="E33" s="36">
        <f>D33/D30</f>
        <v>0.221351572702924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M33" s="11"/>
    </row>
    <row r="34" s="1" customFormat="1" customHeight="1" spans="2:13">
      <c r="C34" s="10" t="s">
        <v>159</v>
      </c>
      <c r="D34" s="26">
        <v>58000</v>
      </c>
      <c r="E34" s="36">
        <f>D34/D30</f>
        <v>0.256767824335392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M34" s="11"/>
    </row>
    <row r="35" s="7" customFormat="1" customHeight="1" spans="2:13">
      <c r="C35" s="3" t="s">
        <v>160</v>
      </c>
      <c r="D35" s="32">
        <f>SUM(D31:D34)</f>
        <v>188508.5</v>
      </c>
      <c r="E35" s="45">
        <f>D35/D30</f>
        <v>0.834533058857383</v>
      </c>
      <c r="F35" s="32">
        <f>SUM(F31:F34)</f>
        <v>33425</v>
      </c>
      <c r="G35" s="46"/>
      <c r="H35" s="32">
        <f>SUM(H31:H34)</f>
        <v>47140</v>
      </c>
      <c r="I35" s="46"/>
      <c r="J35" s="32">
        <f>SUM(J31:J34)</f>
        <v>60307.5</v>
      </c>
      <c r="K35" s="46">
        <f>K31:K31</f>
        <v>17606</v>
      </c>
      <c r="M35" s="46"/>
    </row>
    <row r="36" s="1" customFormat="1" customHeight="1" spans="2:13">
      <c r="C36" s="33" t="s">
        <v>161</v>
      </c>
      <c r="D36" s="19">
        <f>SUM(F36:J36)</f>
        <v>100512.5</v>
      </c>
      <c r="E36" s="36">
        <f>D36/D30</f>
        <v>0.444971999026053</v>
      </c>
      <c r="F36" s="24">
        <f>SUM(F30-F31-F32-F34)</f>
        <v>27755</v>
      </c>
      <c r="G36" s="11"/>
      <c r="H36" s="11">
        <f>SUM(H30-H31-H32-H34)</f>
        <v>77500</v>
      </c>
      <c r="I36" s="11"/>
      <c r="J36" s="11">
        <f>SUM(J30-J31-J32-J34)</f>
        <v>-4742.5</v>
      </c>
      <c r="K36" s="11">
        <f>SUM(K30-K31-K32-K33-K34)</f>
        <v>-25636</v>
      </c>
      <c r="M36" s="11"/>
    </row>
    <row r="37" s="1" customFormat="1" customHeight="1" spans="2:13">
      <c r="C37" s="38" t="s">
        <v>162</v>
      </c>
      <c r="D37" s="26">
        <f>D30*0.45</f>
        <v>101648.25</v>
      </c>
      <c r="E37" s="36">
        <f>D37/D30</f>
        <v>0.45</v>
      </c>
      <c r="F37" s="26">
        <f>F30*0.45</f>
        <v>21906</v>
      </c>
      <c r="G37" s="11"/>
      <c r="H37" s="26">
        <f>H30*0.45</f>
        <v>50463</v>
      </c>
      <c r="I37" s="11"/>
      <c r="J37" s="26">
        <f>J30*0.45</f>
        <v>19379.25</v>
      </c>
      <c r="K37" s="29">
        <f>K30*0.45</f>
        <v>9900</v>
      </c>
      <c r="M37" s="11"/>
    </row>
    <row r="38" s="8" customFormat="1" customHeight="1" spans="2:13">
      <c r="C38" s="47" t="s">
        <v>163</v>
      </c>
      <c r="D38" s="4">
        <f>SUM(D36-D37)</f>
        <v>-1135.75</v>
      </c>
      <c r="E38" s="48"/>
      <c r="F38" s="4">
        <f>SUM(F36-F37)</f>
        <v>5849</v>
      </c>
      <c r="G38" s="49"/>
      <c r="H38" s="4">
        <f>SUM(H36-H37)</f>
        <v>27037</v>
      </c>
      <c r="I38" s="49"/>
      <c r="J38" s="4">
        <f>SUM(J36-J37)</f>
        <v>-24121.75</v>
      </c>
      <c r="K38" s="49">
        <f>K36-K37</f>
        <v>-35536</v>
      </c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s">
        <v>30</v>
      </c>
      <c r="C40" s="40" t="s">
        <v>156</v>
      </c>
      <c r="D40" s="21">
        <f>SUM(F40:K40)</f>
        <v>270620</v>
      </c>
      <c r="E40" s="41"/>
      <c r="F40" s="55">
        <v>100750</v>
      </c>
      <c r="G40" s="42"/>
      <c r="H40" s="42">
        <v>110690</v>
      </c>
      <c r="I40" s="43"/>
      <c r="J40" s="43">
        <v>53180</v>
      </c>
      <c r="K40" s="43">
        <v>6000</v>
      </c>
      <c r="M40" s="43"/>
    </row>
    <row r="41" s="1" customFormat="1" customHeight="1" spans="2:13">
      <c r="C41" s="10" t="s">
        <v>0</v>
      </c>
      <c r="D41" s="23">
        <f>SUM(F41:K41)</f>
        <v>40256</v>
      </c>
      <c r="E41" s="36">
        <f>D41/D40</f>
        <v>0.148754711403444</v>
      </c>
      <c r="F41" s="24">
        <f>May!D33</f>
        <v>0</v>
      </c>
      <c r="G41" s="11"/>
      <c r="H41" s="11">
        <f>May!D34</f>
        <v>22650</v>
      </c>
      <c r="I41" s="11"/>
      <c r="J41" s="11">
        <f>May!D35</f>
        <v>17606</v>
      </c>
      <c r="K41" s="11"/>
      <c r="M41" s="11"/>
    </row>
    <row r="42" s="1" customFormat="1" customHeight="1" spans="2:13">
      <c r="C42" s="10" t="s">
        <v>157</v>
      </c>
      <c r="D42" s="23">
        <f>SUM(F42:K42)</f>
        <v>28105</v>
      </c>
      <c r="E42" s="36">
        <f>D42/D40</f>
        <v>0.103854112778065</v>
      </c>
      <c r="F42" s="24">
        <f>May!G33</f>
        <v>9365</v>
      </c>
      <c r="G42" s="11"/>
      <c r="H42" s="11">
        <f>May!G35</f>
        <v>7045</v>
      </c>
      <c r="I42" s="11"/>
      <c r="J42" s="11">
        <f>May!G35</f>
        <v>7045</v>
      </c>
      <c r="K42" s="11">
        <f>May!G36</f>
        <v>4650</v>
      </c>
      <c r="M42" s="11"/>
    </row>
    <row r="43" s="1" customFormat="1" customHeight="1" spans="2:13">
      <c r="C43" s="10" t="s">
        <v>158</v>
      </c>
      <c r="D43" s="23">
        <v>50000</v>
      </c>
      <c r="E43" s="36">
        <f>D43/D40</f>
        <v>0.184760919370335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M43" s="11"/>
    </row>
    <row r="44" s="1" customFormat="1" customHeight="1" spans="2:13">
      <c r="C44" s="10" t="s">
        <v>159</v>
      </c>
      <c r="D44" s="26">
        <v>58000</v>
      </c>
      <c r="E44" s="36">
        <f>D44/D40</f>
        <v>0.214322666469588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M44" s="11"/>
    </row>
    <row r="45" s="3" customFormat="1" customHeight="1" spans="2:13">
      <c r="C45" s="3" t="s">
        <v>160</v>
      </c>
      <c r="D45" s="32">
        <f>SUM(D41:D44)</f>
        <v>176361</v>
      </c>
      <c r="E45" s="32">
        <f>D45/D40</f>
        <v>0.651692410021432</v>
      </c>
      <c r="F45" s="32">
        <f>SUM(F41:F44)</f>
        <v>36365</v>
      </c>
      <c r="G45" s="32"/>
      <c r="H45" s="32">
        <f>SUM(H41:H44)</f>
        <v>56695</v>
      </c>
      <c r="I45" s="32"/>
      <c r="J45" s="32">
        <f>SUM(J41:J44)</f>
        <v>51651</v>
      </c>
      <c r="K45" s="32">
        <f>SUM(K41:K41)</f>
        <v>0</v>
      </c>
      <c r="M45" s="32"/>
    </row>
    <row r="46" s="1" customFormat="1" customHeight="1" spans="2:13">
      <c r="C46" s="33" t="s">
        <v>161</v>
      </c>
      <c r="D46" s="23">
        <f>D40-D45</f>
        <v>94259</v>
      </c>
      <c r="E46" s="36">
        <f>D46/D40</f>
        <v>0.348307589978568</v>
      </c>
      <c r="F46" s="24">
        <f>SUM(F40-F41-F42-F44)</f>
        <v>76885</v>
      </c>
      <c r="G46" s="11"/>
      <c r="H46" s="11">
        <f>SUM(H40-H41-H42-H44)</f>
        <v>66495</v>
      </c>
      <c r="I46" s="11"/>
      <c r="J46" s="11">
        <f>SUM(J40-J41-J42-J44)</f>
        <v>14029</v>
      </c>
      <c r="K46" s="11">
        <f>SUM(K40-K41-K42-K43-K44)</f>
        <v>-25650</v>
      </c>
      <c r="M46" s="11"/>
    </row>
    <row r="47" s="1" customFormat="1" customHeight="1" spans="2:13">
      <c r="C47" s="38" t="s">
        <v>162</v>
      </c>
      <c r="D47" s="29">
        <f>D40*0.45</f>
        <v>121779</v>
      </c>
      <c r="E47" s="11">
        <f>D47/D40</f>
        <v>0.45</v>
      </c>
      <c r="F47" s="29">
        <f>F40*0.45</f>
        <v>45337.5</v>
      </c>
      <c r="G47" s="11"/>
      <c r="H47" s="29">
        <f>H40*0.45</f>
        <v>49810.5</v>
      </c>
      <c r="I47" s="11"/>
      <c r="J47" s="29">
        <f>J40*0.45</f>
        <v>23931</v>
      </c>
      <c r="K47" s="11">
        <f>K40*0.45</f>
        <v>2700</v>
      </c>
      <c r="M47" s="11"/>
    </row>
    <row r="48" s="8" customFormat="1" customHeight="1" spans="2:13">
      <c r="C48" s="47" t="s">
        <v>163</v>
      </c>
      <c r="D48" s="49">
        <f>D46-D47</f>
        <v>-27520</v>
      </c>
      <c r="E48" s="49"/>
      <c r="F48" s="49">
        <f t="shared" ref="F48:J48" si="3">F46-F47</f>
        <v>31547.5</v>
      </c>
      <c r="G48" s="49"/>
      <c r="H48" s="49">
        <f t="shared" si="3"/>
        <v>16684.5</v>
      </c>
      <c r="I48" s="49"/>
      <c r="J48" s="49">
        <f t="shared" si="3"/>
        <v>-9902</v>
      </c>
      <c r="K48" s="49">
        <f>K47-K46</f>
        <v>28350</v>
      </c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s">
        <v>3</v>
      </c>
      <c r="D50" s="11">
        <f>D10+D20+D30+D40</f>
        <v>788920</v>
      </c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s">
        <v>181</v>
      </c>
      <c r="D51" s="11">
        <f>D11+D21+D31+D41</f>
        <v>142775.5</v>
      </c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s">
        <v>1</v>
      </c>
      <c r="D52" s="11">
        <f>D12+D22+D32+D42</f>
        <v>99060</v>
      </c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s">
        <v>182</v>
      </c>
      <c r="D53" s="11">
        <f>D13+D23+D33+D43</f>
        <v>200000</v>
      </c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s">
        <v>2</v>
      </c>
      <c r="D54" s="11">
        <f>D14+D24+D34+D44</f>
        <v>232000</v>
      </c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s">
        <v>183</v>
      </c>
      <c r="D55" s="11">
        <f>SUM(D51:D54)</f>
        <v>673835.5</v>
      </c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>
        <f>D50-D55</f>
        <v>115084.5</v>
      </c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s">
        <v>164</v>
      </c>
      <c r="D57" s="11">
        <f>D16+D26+D36+D46</f>
        <v>178220.5</v>
      </c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s">
        <v>166</v>
      </c>
      <c r="D59" s="11">
        <f>D57-D58</f>
        <v>18220.5</v>
      </c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s">
        <v>167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s">
        <v>168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s">
        <v>169</v>
      </c>
      <c r="D65" s="11" t="s">
        <v>191</v>
      </c>
      <c r="E65" s="11"/>
      <c r="F65" s="11"/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 t="s">
        <v>192</v>
      </c>
      <c r="E66" s="11"/>
      <c r="F66" s="11"/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 t="s">
        <v>193</v>
      </c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2:13">
      <c r="D68" s="11" t="s">
        <v>194</v>
      </c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 t="s">
        <v>195</v>
      </c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4" fitToHeight="0" orientation="landscape"/>
  <headerFooter/>
  <rowBreaks count="1" manualBreakCount="1">
    <brk id="26" max="10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77"/>
  <sheetViews>
    <sheetView topLeftCell="B1" workbookViewId="0">
      <selection activeCell="D59" sqref="D59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s">
        <v>140</v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s">
        <v>170</v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s">
        <v>196</v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s">
        <v>143</v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s">
        <v>172</v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M8" s="11"/>
    </row>
    <row r="9" s="1" customFormat="1" customHeight="1" spans="2:13">
      <c r="D9" s="17" t="s">
        <v>152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L9" s="1" t="s">
        <v>180</v>
      </c>
      <c r="M9" s="11"/>
    </row>
    <row r="10" s="2" customFormat="1" customHeight="1" spans="2:13">
      <c r="B10" s="2" t="s">
        <v>4</v>
      </c>
      <c r="C10" s="2" t="s">
        <v>156</v>
      </c>
      <c r="D10" s="20">
        <f>SUM(F10:L10)</f>
        <v>440395</v>
      </c>
      <c r="E10" s="20"/>
      <c r="F10" s="20">
        <v>105250</v>
      </c>
      <c r="G10" s="21"/>
      <c r="H10" s="21">
        <v>57600</v>
      </c>
      <c r="I10" s="21"/>
      <c r="J10" s="21">
        <v>137295</v>
      </c>
      <c r="K10" s="21">
        <v>90745</v>
      </c>
      <c r="L10" s="21">
        <v>49505</v>
      </c>
      <c r="M10" s="21"/>
    </row>
    <row r="11" s="1" customFormat="1" customHeight="1" spans="2:13">
      <c r="C11" s="10" t="s">
        <v>0</v>
      </c>
      <c r="D11" s="22">
        <f t="shared" ref="D11:D12" si="0">SUM(F11:K11)</f>
        <v>47262</v>
      </c>
      <c r="E11" s="23">
        <f>D11/D10</f>
        <v>0.107317294701348</v>
      </c>
      <c r="F11" s="24">
        <f>JUNE!D5</f>
        <v>0</v>
      </c>
      <c r="G11" s="11"/>
      <c r="H11" s="24">
        <f>JUNE!D6</f>
        <v>15754</v>
      </c>
      <c r="I11" s="11"/>
      <c r="J11" s="11">
        <f>JUNE!D7</f>
        <v>15754</v>
      </c>
      <c r="K11" s="11">
        <f>JUNE!D8</f>
        <v>15754</v>
      </c>
      <c r="L11" s="1">
        <f>JUNE!D9</f>
        <v>0</v>
      </c>
      <c r="M11" s="11"/>
    </row>
    <row r="12" s="1" customFormat="1" customHeight="1" spans="2:13">
      <c r="C12" s="10" t="s">
        <v>157</v>
      </c>
      <c r="D12" s="22">
        <f t="shared" si="0"/>
        <v>38783</v>
      </c>
      <c r="E12" s="23">
        <f>D12/D10</f>
        <v>0.0880641242520919</v>
      </c>
      <c r="F12" s="24">
        <f>JUNE!G5</f>
        <v>9595</v>
      </c>
      <c r="G12" s="11"/>
      <c r="H12" s="11">
        <f>JUNE!G6</f>
        <v>8940</v>
      </c>
      <c r="I12" s="11"/>
      <c r="J12" s="11">
        <f>JUNE!G7</f>
        <v>11935</v>
      </c>
      <c r="K12" s="11">
        <f>JUNE!G8</f>
        <v>8313</v>
      </c>
      <c r="L12" s="11">
        <f>JUNE!G9</f>
        <v>6910</v>
      </c>
      <c r="M12" s="11"/>
    </row>
    <row r="13" s="1" customFormat="1" customHeight="1" spans="2:13">
      <c r="C13" s="10" t="s">
        <v>158</v>
      </c>
      <c r="D13" s="22">
        <v>50000</v>
      </c>
      <c r="E13" s="23">
        <f>D13/D10</f>
        <v>0.113534440672578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L13" s="11">
        <v>12500</v>
      </c>
      <c r="M13" s="11"/>
    </row>
    <row r="14" s="1" customFormat="1" customHeight="1" spans="2:13">
      <c r="C14" s="10" t="s">
        <v>159</v>
      </c>
      <c r="D14" s="25">
        <v>58000</v>
      </c>
      <c r="E14" s="26">
        <f>D14/D10</f>
        <v>0.131699951180191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L14" s="11">
        <v>14500</v>
      </c>
      <c r="M14" s="11"/>
    </row>
    <row r="15" s="3" customFormat="1" customHeight="1" spans="2:13">
      <c r="C15" s="3" t="s">
        <v>160</v>
      </c>
      <c r="D15" s="30">
        <f>SUM(D11:D14)</f>
        <v>194045</v>
      </c>
      <c r="E15" s="30">
        <f>D15/D10</f>
        <v>0.440615810806208</v>
      </c>
      <c r="F15" s="31">
        <f>SUM(F11:F14)</f>
        <v>36595</v>
      </c>
      <c r="G15" s="32"/>
      <c r="H15" s="32">
        <f>SUM(H11:H14)</f>
        <v>51694</v>
      </c>
      <c r="I15" s="32"/>
      <c r="J15" s="32">
        <f>SUM(J11:J14)</f>
        <v>54689</v>
      </c>
      <c r="K15" s="32">
        <f>SUM(K11:K14)</f>
        <v>51067</v>
      </c>
      <c r="L15" s="32">
        <f>SUM(L11:L14)</f>
        <v>33910</v>
      </c>
      <c r="M15" s="32"/>
    </row>
    <row r="16" s="1" customFormat="1" customHeight="1" spans="2:13">
      <c r="C16" s="33" t="s">
        <v>161</v>
      </c>
      <c r="D16" s="23">
        <f>D10-D15</f>
        <v>246350</v>
      </c>
      <c r="E16" s="23">
        <f>D16/D10</f>
        <v>0.559384189193792</v>
      </c>
      <c r="F16" s="24">
        <f>SUM(F10-F11-F12-F14)</f>
        <v>81155</v>
      </c>
      <c r="G16" s="11"/>
      <c r="H16" s="11">
        <f>SUM(H10-H11-H12-H13-H14)</f>
        <v>5906</v>
      </c>
      <c r="I16" s="11"/>
      <c r="J16" s="11">
        <f>SUM(J10-J11-J12-J13-J14)</f>
        <v>82606</v>
      </c>
      <c r="K16" s="11">
        <f>SUM(K10-K11-K12-K13-K14)</f>
        <v>39678</v>
      </c>
      <c r="L16" s="11">
        <f>SUM(L10-L11-L12-L13-L14)</f>
        <v>15595</v>
      </c>
      <c r="M16" s="11"/>
    </row>
    <row r="17" s="1" customFormat="1" customHeight="1" spans="2:13">
      <c r="C17" s="34" t="s">
        <v>162</v>
      </c>
      <c r="D17" s="26">
        <f>D10*0.45</f>
        <v>198177.75</v>
      </c>
      <c r="E17" s="23">
        <f>D17/D10</f>
        <v>0.45</v>
      </c>
      <c r="F17" s="26">
        <f>F10*0.45</f>
        <v>47362.5</v>
      </c>
      <c r="G17" s="23"/>
      <c r="H17" s="26">
        <f>H10*0.45</f>
        <v>25920</v>
      </c>
      <c r="I17" s="23"/>
      <c r="J17" s="26">
        <f>J10*0.45</f>
        <v>61782.75</v>
      </c>
      <c r="K17" s="11">
        <f>K10*0.45</f>
        <v>40835.25</v>
      </c>
      <c r="L17" s="11">
        <f>L10*0.45</f>
        <v>22277.25</v>
      </c>
      <c r="M17" s="11"/>
    </row>
    <row r="18" s="4" customFormat="1" customHeight="1" spans="2:13">
      <c r="C18" s="35" t="s">
        <v>163</v>
      </c>
      <c r="D18" s="4">
        <f>D16-D17</f>
        <v>48172.25</v>
      </c>
      <c r="F18" s="4">
        <f>F16-F17</f>
        <v>33792.5</v>
      </c>
      <c r="H18" s="4">
        <f>H16-H17</f>
        <v>-20014</v>
      </c>
      <c r="J18" s="4">
        <f>J16-J17</f>
        <v>20823.25</v>
      </c>
      <c r="K18" s="4">
        <f>K16-K17</f>
        <v>-1157.25</v>
      </c>
      <c r="L18" s="4">
        <f>L16-L17</f>
        <v>-6682.25</v>
      </c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s">
        <v>26</v>
      </c>
      <c r="C20" s="2" t="s">
        <v>156</v>
      </c>
      <c r="D20" s="21">
        <f>SUM(F20:L20)</f>
        <v>320560</v>
      </c>
      <c r="E20" s="21"/>
      <c r="F20" s="20">
        <v>49700</v>
      </c>
      <c r="G20" s="21"/>
      <c r="H20" s="21">
        <v>80600</v>
      </c>
      <c r="I20" s="21"/>
      <c r="J20" s="21">
        <v>44500</v>
      </c>
      <c r="K20" s="21">
        <v>133360</v>
      </c>
      <c r="L20" s="21">
        <v>12400</v>
      </c>
      <c r="M20" s="21"/>
    </row>
    <row r="21" s="1" customFormat="1" customHeight="1" spans="2:13">
      <c r="C21" s="10" t="s">
        <v>0</v>
      </c>
      <c r="D21" s="23">
        <f>SUM(F21:K21)</f>
        <v>31508</v>
      </c>
      <c r="E21" s="36">
        <f>D21/D20</f>
        <v>0.0982904916396306</v>
      </c>
      <c r="F21" s="24">
        <f>JUNE!D15</f>
        <v>0</v>
      </c>
      <c r="G21" s="11"/>
      <c r="H21" s="24">
        <f>JUNE!D16</f>
        <v>15754</v>
      </c>
      <c r="I21" s="11"/>
      <c r="J21" s="11">
        <f>JUNE!D17</f>
        <v>15754</v>
      </c>
      <c r="K21" s="11">
        <f>May!D18</f>
        <v>0</v>
      </c>
      <c r="L21" s="1">
        <f>JUNE!D19</f>
        <v>0</v>
      </c>
      <c r="M21" s="11"/>
    </row>
    <row r="22" s="1" customFormat="1" customHeight="1" spans="2:13">
      <c r="C22" s="10" t="s">
        <v>157</v>
      </c>
      <c r="D22" s="23">
        <f>SUM(F22:K22)</f>
        <v>33903</v>
      </c>
      <c r="E22" s="36">
        <f>D22/D20</f>
        <v>0.105761791864238</v>
      </c>
      <c r="F22" s="24">
        <f>JUNE!G15</f>
        <v>6650</v>
      </c>
      <c r="G22" s="11"/>
      <c r="H22" s="11">
        <f>JUNE!G16</f>
        <v>10630</v>
      </c>
      <c r="I22" s="11"/>
      <c r="J22" s="11">
        <f>JUNE!G17</f>
        <v>7155</v>
      </c>
      <c r="K22" s="11">
        <f>JUNE!G18</f>
        <v>9468</v>
      </c>
      <c r="L22" s="11">
        <v>2525</v>
      </c>
      <c r="M22" s="11"/>
    </row>
    <row r="23" s="1" customFormat="1" customHeight="1" spans="2:13">
      <c r="C23" s="10" t="s">
        <v>158</v>
      </c>
      <c r="D23" s="23">
        <v>50000</v>
      </c>
      <c r="E23" s="36">
        <f>D23/D20</f>
        <v>0.155977040179686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L23" s="11">
        <v>12501</v>
      </c>
      <c r="M23" s="11"/>
    </row>
    <row r="24" s="1" customFormat="1" customHeight="1" spans="2:13">
      <c r="C24" s="10" t="s">
        <v>159</v>
      </c>
      <c r="D24" s="26">
        <v>58000</v>
      </c>
      <c r="E24" s="36">
        <f>D24/D20</f>
        <v>0.180933366608435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L24" s="11">
        <v>14501</v>
      </c>
      <c r="M24" s="11"/>
    </row>
    <row r="25" s="3" customFormat="1" customHeight="1" spans="2:13">
      <c r="C25" s="3" t="s">
        <v>160</v>
      </c>
      <c r="D25" s="32">
        <f>SUM(D21:D24)</f>
        <v>173411</v>
      </c>
      <c r="E25" s="37">
        <f>D25/D20</f>
        <v>0.540962690291989</v>
      </c>
      <c r="F25" s="31">
        <f>SUM(F21:F24)</f>
        <v>33650</v>
      </c>
      <c r="G25" s="32"/>
      <c r="H25" s="31">
        <f>SUM(H21:H24)</f>
        <v>53384</v>
      </c>
      <c r="I25" s="32"/>
      <c r="J25" s="31">
        <f>SUM(J21:J24)</f>
        <v>49909</v>
      </c>
      <c r="K25" s="32">
        <f>SUM(K21:K24)</f>
        <v>36468</v>
      </c>
      <c r="L25" s="32">
        <f>SUM(L21:L24)</f>
        <v>29527</v>
      </c>
      <c r="M25" s="32"/>
    </row>
    <row r="26" s="1" customFormat="1" customHeight="1" spans="2:13">
      <c r="C26" s="33" t="s">
        <v>161</v>
      </c>
      <c r="D26" s="23">
        <f>D20-D25</f>
        <v>147149</v>
      </c>
      <c r="E26" s="36">
        <f>D26/D20</f>
        <v>0.459037309708011</v>
      </c>
      <c r="F26" s="24">
        <f>SUM(F20-F21-F22-F24)</f>
        <v>28550</v>
      </c>
      <c r="G26" s="11"/>
      <c r="H26" s="11">
        <f>SUM(H20-H21-H22-H24)</f>
        <v>39716</v>
      </c>
      <c r="I26" s="11"/>
      <c r="J26" s="11">
        <f>SUM(J20-J21-J22-J24)</f>
        <v>7091</v>
      </c>
      <c r="K26" s="11">
        <f>SUM(K20-K21-K22-K23-K24)</f>
        <v>96892</v>
      </c>
      <c r="L26" s="11">
        <f>SUM(L20-L21-L22-L23-L24)</f>
        <v>-17127</v>
      </c>
      <c r="M26" s="11"/>
    </row>
    <row r="27" s="1" customFormat="1" customHeight="1" spans="2:13">
      <c r="C27" s="38" t="s">
        <v>162</v>
      </c>
      <c r="D27" s="26">
        <f>D20*0.45</f>
        <v>144252</v>
      </c>
      <c r="E27" s="36">
        <f>D27/D20</f>
        <v>0.45</v>
      </c>
      <c r="F27" s="26">
        <f t="shared" ref="F27:L27" si="1">F20*0.45</f>
        <v>22365</v>
      </c>
      <c r="G27" s="23"/>
      <c r="H27" s="26">
        <f t="shared" si="1"/>
        <v>36270</v>
      </c>
      <c r="I27" s="23"/>
      <c r="J27" s="26">
        <f t="shared" si="1"/>
        <v>20025</v>
      </c>
      <c r="K27" s="29">
        <f t="shared" si="1"/>
        <v>60012</v>
      </c>
      <c r="L27" s="29">
        <f t="shared" si="1"/>
        <v>5580</v>
      </c>
      <c r="M27" s="11"/>
    </row>
    <row r="28" s="5" customFormat="1" customHeight="1" spans="2:13">
      <c r="C28" s="39" t="s">
        <v>163</v>
      </c>
      <c r="D28" s="4">
        <f>D26-D27</f>
        <v>2897</v>
      </c>
      <c r="E28" s="4"/>
      <c r="F28" s="4">
        <f t="shared" ref="F28:L28" si="2">F26-F27</f>
        <v>6185</v>
      </c>
      <c r="G28" s="4"/>
      <c r="H28" s="4">
        <f t="shared" si="2"/>
        <v>3446</v>
      </c>
      <c r="I28" s="4"/>
      <c r="J28" s="4">
        <f t="shared" si="2"/>
        <v>-12934</v>
      </c>
      <c r="K28" s="4">
        <f t="shared" si="2"/>
        <v>36880</v>
      </c>
      <c r="L28" s="4">
        <f t="shared" si="2"/>
        <v>-22707</v>
      </c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s">
        <v>28</v>
      </c>
      <c r="C30" s="40" t="s">
        <v>156</v>
      </c>
      <c r="D30" s="21">
        <f>SUM(F30:L30)</f>
        <v>66500</v>
      </c>
      <c r="E30" s="41"/>
      <c r="F30" s="55">
        <v>40100</v>
      </c>
      <c r="G30" s="42"/>
      <c r="H30" s="42"/>
      <c r="I30" s="43"/>
      <c r="J30" s="43"/>
      <c r="K30" s="43"/>
      <c r="L30" s="43">
        <v>26400</v>
      </c>
      <c r="M30" s="43"/>
    </row>
    <row r="31" s="1" customFormat="1" customHeight="1" spans="2:13">
      <c r="C31" s="10" t="s">
        <v>0</v>
      </c>
      <c r="D31" s="23">
        <f>SUM(F31:K31)</f>
        <v>15754</v>
      </c>
      <c r="E31" s="36">
        <f>D31/D30</f>
        <v>0.236902255639098</v>
      </c>
      <c r="F31" s="24">
        <f>JUNE!D24</f>
        <v>0</v>
      </c>
      <c r="G31" s="11"/>
      <c r="H31" s="44">
        <f>JUNE!D25</f>
        <v>15754</v>
      </c>
      <c r="I31" s="11"/>
      <c r="J31" s="11">
        <f>JUNE!D26</f>
        <v>0</v>
      </c>
      <c r="K31" s="11">
        <f>JUNE!E27</f>
        <v>0</v>
      </c>
      <c r="M31" s="11"/>
    </row>
    <row r="32" s="1" customFormat="1" customHeight="1" spans="2:13">
      <c r="C32" s="10" t="s">
        <v>157</v>
      </c>
      <c r="D32" s="23">
        <f>SUM(F32:K32)</f>
        <v>5070</v>
      </c>
      <c r="E32" s="36">
        <f>D32/D30</f>
        <v>0.0762406015037594</v>
      </c>
      <c r="F32" s="24">
        <f>JUNE!G24</f>
        <v>5070</v>
      </c>
      <c r="G32" s="11"/>
      <c r="H32" s="11">
        <f>JUNE!G25</f>
        <v>0</v>
      </c>
      <c r="I32" s="11"/>
      <c r="J32" s="11">
        <f>JUNE!G26</f>
        <v>0</v>
      </c>
      <c r="K32" s="11">
        <f>JUNE!G27</f>
        <v>0</v>
      </c>
      <c r="L32" s="11">
        <f>JUNE!G28</f>
        <v>5950</v>
      </c>
      <c r="M32" s="11"/>
    </row>
    <row r="33" s="1" customFormat="1" customHeight="1" spans="2:13">
      <c r="C33" s="10" t="s">
        <v>158</v>
      </c>
      <c r="D33" s="23">
        <v>50000</v>
      </c>
      <c r="E33" s="36">
        <f>D33/D30</f>
        <v>0.75187969924812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L33" s="11">
        <v>12500</v>
      </c>
      <c r="M33" s="11"/>
    </row>
    <row r="34" s="1" customFormat="1" customHeight="1" spans="2:13">
      <c r="C34" s="10" t="s">
        <v>159</v>
      </c>
      <c r="D34" s="26">
        <v>58000</v>
      </c>
      <c r="E34" s="36">
        <f>D34/D30</f>
        <v>0.87218045112782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L34" s="11">
        <v>14500</v>
      </c>
      <c r="M34" s="11"/>
    </row>
    <row r="35" s="7" customFormat="1" customHeight="1" spans="2:13">
      <c r="C35" s="3" t="s">
        <v>160</v>
      </c>
      <c r="D35" s="32">
        <f>SUM(D31:D34)</f>
        <v>128824</v>
      </c>
      <c r="E35" s="45">
        <f>D35/D30</f>
        <v>1.9372030075188</v>
      </c>
      <c r="F35" s="32">
        <f>SUM(F31:F34)</f>
        <v>32070</v>
      </c>
      <c r="G35" s="46"/>
      <c r="H35" s="32">
        <f>SUM(H31:H34)</f>
        <v>42754</v>
      </c>
      <c r="I35" s="46"/>
      <c r="J35" s="32">
        <f>SUM(J31:J34)</f>
        <v>27000</v>
      </c>
      <c r="K35" s="46">
        <f>K31:K31</f>
        <v>0</v>
      </c>
      <c r="M35" s="46"/>
    </row>
    <row r="36" s="1" customFormat="1" customHeight="1" spans="2:13">
      <c r="C36" s="33" t="s">
        <v>161</v>
      </c>
      <c r="D36" s="19">
        <f>SUM(F36:J36)</f>
        <v>-24224</v>
      </c>
      <c r="E36" s="36">
        <f>D36/D30</f>
        <v>-0.364270676691729</v>
      </c>
      <c r="F36" s="24">
        <f>SUM(F30-F31-F32-F34)</f>
        <v>20530</v>
      </c>
      <c r="G36" s="11"/>
      <c r="H36" s="11">
        <f>SUM(H30-H31-H32-H34)</f>
        <v>-30254</v>
      </c>
      <c r="I36" s="11"/>
      <c r="J36" s="11">
        <f>SUM(J30-J31-J32-J34)</f>
        <v>-14500</v>
      </c>
      <c r="K36" s="11">
        <f>SUM(K30-K31-K32-K33-K34)</f>
        <v>-27000</v>
      </c>
      <c r="M36" s="11"/>
    </row>
    <row r="37" s="1" customFormat="1" customHeight="1" spans="2:13">
      <c r="C37" s="38" t="s">
        <v>162</v>
      </c>
      <c r="D37" s="26">
        <f>D30*0.45</f>
        <v>29925</v>
      </c>
      <c r="E37" s="36">
        <f>D37/D30</f>
        <v>0.45</v>
      </c>
      <c r="F37" s="26">
        <f>F30*0.45</f>
        <v>18045</v>
      </c>
      <c r="G37" s="11"/>
      <c r="H37" s="26">
        <f>H30*0.45</f>
        <v>0</v>
      </c>
      <c r="I37" s="11"/>
      <c r="J37" s="26">
        <f>J30*0.45</f>
        <v>0</v>
      </c>
      <c r="K37" s="29">
        <f>K30*0.45</f>
        <v>0</v>
      </c>
      <c r="M37" s="11"/>
    </row>
    <row r="38" s="8" customFormat="1" customHeight="1" spans="2:13">
      <c r="C38" s="47" t="s">
        <v>163</v>
      </c>
      <c r="D38" s="4">
        <f>SUM(D36-D37)</f>
        <v>-54149</v>
      </c>
      <c r="E38" s="48"/>
      <c r="F38" s="4">
        <f>SUM(F36-F37)</f>
        <v>2485</v>
      </c>
      <c r="G38" s="49"/>
      <c r="H38" s="4">
        <f>SUM(H36-H37)</f>
        <v>-30254</v>
      </c>
      <c r="I38" s="49"/>
      <c r="J38" s="4">
        <f>SUM(J36-J37)</f>
        <v>-14500</v>
      </c>
      <c r="K38" s="49">
        <f>K36-K37</f>
        <v>-27000</v>
      </c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s">
        <v>30</v>
      </c>
      <c r="C40" s="40" t="s">
        <v>156</v>
      </c>
      <c r="D40" s="21">
        <f>SUM(F40:L40)</f>
        <v>276095</v>
      </c>
      <c r="E40" s="41"/>
      <c r="F40" s="55">
        <v>16500</v>
      </c>
      <c r="G40" s="42"/>
      <c r="H40" s="42">
        <v>99445</v>
      </c>
      <c r="I40" s="43"/>
      <c r="J40" s="43">
        <v>60400</v>
      </c>
      <c r="K40" s="43">
        <v>87350</v>
      </c>
      <c r="L40" s="43">
        <v>12400</v>
      </c>
      <c r="M40" s="43"/>
    </row>
    <row r="41" s="1" customFormat="1" customHeight="1" spans="2:13">
      <c r="C41" s="10" t="s">
        <v>0</v>
      </c>
      <c r="D41" s="23">
        <f>SUM(F41:K41)</f>
        <v>47262</v>
      </c>
      <c r="E41" s="36">
        <f>D41/D40</f>
        <v>0.171180209710426</v>
      </c>
      <c r="F41" s="24">
        <f>JUNE!D33</f>
        <v>0</v>
      </c>
      <c r="G41" s="11"/>
      <c r="H41" s="11">
        <f>JUNE!D34</f>
        <v>15754</v>
      </c>
      <c r="I41" s="11"/>
      <c r="J41" s="11">
        <f>JUNE!D35</f>
        <v>15754</v>
      </c>
      <c r="K41" s="11">
        <f>JUNE!D36</f>
        <v>15754</v>
      </c>
      <c r="M41" s="11"/>
    </row>
    <row r="42" s="1" customFormat="1" customHeight="1" spans="2:13">
      <c r="C42" s="10" t="s">
        <v>157</v>
      </c>
      <c r="D42" s="23">
        <f>SUM(F42:K42)</f>
        <v>34298</v>
      </c>
      <c r="E42" s="36">
        <f>D42/D40</f>
        <v>0.124225357214002</v>
      </c>
      <c r="F42" s="24">
        <f>JUNE!G33</f>
        <v>6750</v>
      </c>
      <c r="G42" s="11"/>
      <c r="H42" s="11">
        <f>JUNE!G34</f>
        <v>11640</v>
      </c>
      <c r="I42" s="11"/>
      <c r="J42" s="11">
        <f>JUNE!G35</f>
        <v>7900</v>
      </c>
      <c r="K42" s="11">
        <f>JUNE!G36</f>
        <v>8008</v>
      </c>
      <c r="L42" s="11">
        <f>JUNE!G37</f>
        <v>9815</v>
      </c>
      <c r="M42" s="11"/>
    </row>
    <row r="43" s="1" customFormat="1" customHeight="1" spans="2:13">
      <c r="C43" s="10" t="s">
        <v>158</v>
      </c>
      <c r="D43" s="23">
        <v>50000</v>
      </c>
      <c r="E43" s="36">
        <f>D43/D40</f>
        <v>0.181097086147884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L43" s="11">
        <v>12500</v>
      </c>
      <c r="M43" s="11"/>
    </row>
    <row r="44" s="1" customFormat="1" customHeight="1" spans="2:13">
      <c r="C44" s="10" t="s">
        <v>159</v>
      </c>
      <c r="D44" s="26">
        <v>58000</v>
      </c>
      <c r="E44" s="36">
        <f>D44/D40</f>
        <v>0.210072619931545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L44" s="11">
        <v>14500</v>
      </c>
      <c r="M44" s="11"/>
    </row>
    <row r="45" s="3" customFormat="1" customHeight="1" spans="2:13">
      <c r="C45" s="3" t="s">
        <v>160</v>
      </c>
      <c r="D45" s="32">
        <f>SUM(D41:D44)</f>
        <v>189560</v>
      </c>
      <c r="E45" s="32">
        <f>D45/D40</f>
        <v>0.686575273003857</v>
      </c>
      <c r="F45" s="32">
        <f>SUM(F41:F44)</f>
        <v>33750</v>
      </c>
      <c r="G45" s="32"/>
      <c r="H45" s="32">
        <f>SUM(H41:H44)</f>
        <v>54394</v>
      </c>
      <c r="I45" s="32"/>
      <c r="J45" s="32">
        <f>SUM(J41:J44)</f>
        <v>50654</v>
      </c>
      <c r="K45" s="32">
        <f>SUM(K41:K44)</f>
        <v>50762</v>
      </c>
      <c r="L45" s="32">
        <f>SUM(L41:L44)</f>
        <v>36815</v>
      </c>
      <c r="M45" s="32"/>
    </row>
    <row r="46" s="1" customFormat="1" customHeight="1" spans="2:13">
      <c r="C46" s="33" t="s">
        <v>161</v>
      </c>
      <c r="D46" s="23">
        <f>D40-D45</f>
        <v>86535</v>
      </c>
      <c r="E46" s="36">
        <f>D46/D40</f>
        <v>0.313424726996143</v>
      </c>
      <c r="F46" s="24">
        <f>SUM(F40-F41-F42-F44)</f>
        <v>-4750</v>
      </c>
      <c r="G46" s="11"/>
      <c r="H46" s="11">
        <f>SUM(H40-H41-H42-H44)</f>
        <v>57551</v>
      </c>
      <c r="I46" s="11"/>
      <c r="J46" s="11">
        <f>SUM(J40-J41-J42-J44)</f>
        <v>22246</v>
      </c>
      <c r="K46" s="11">
        <f>SUM(K40-K41-K42-K43-K44)</f>
        <v>36588</v>
      </c>
      <c r="L46" s="11">
        <f>SUM(L40-L41-L42-L43-L44)</f>
        <v>-24415</v>
      </c>
      <c r="M46" s="11"/>
    </row>
    <row r="47" s="1" customFormat="1" customHeight="1" spans="2:13">
      <c r="C47" s="38" t="s">
        <v>162</v>
      </c>
      <c r="D47" s="29">
        <f>D40*0.45</f>
        <v>124242.75</v>
      </c>
      <c r="E47" s="11">
        <f>D47/D40</f>
        <v>0.45</v>
      </c>
      <c r="F47" s="29">
        <f>F40*0.45</f>
        <v>7425</v>
      </c>
      <c r="G47" s="11"/>
      <c r="H47" s="29">
        <f>H40*0.45</f>
        <v>44750.25</v>
      </c>
      <c r="I47" s="11"/>
      <c r="J47" s="29">
        <f>J40*0.45</f>
        <v>27180</v>
      </c>
      <c r="K47" s="11">
        <f>K40*0.45</f>
        <v>39307.5</v>
      </c>
      <c r="L47" s="11">
        <f>L40*0.45</f>
        <v>5580</v>
      </c>
      <c r="M47" s="11"/>
    </row>
    <row r="48" s="8" customFormat="1" customHeight="1" spans="2:13">
      <c r="C48" s="47" t="s">
        <v>163</v>
      </c>
      <c r="D48" s="49">
        <f>D46-D47</f>
        <v>-37707.75</v>
      </c>
      <c r="E48" s="49"/>
      <c r="F48" s="49">
        <f t="shared" ref="F48:J48" si="3">F46-F47</f>
        <v>-12175</v>
      </c>
      <c r="G48" s="49"/>
      <c r="H48" s="49">
        <f t="shared" si="3"/>
        <v>12800.75</v>
      </c>
      <c r="I48" s="49"/>
      <c r="J48" s="49">
        <f t="shared" si="3"/>
        <v>-4934</v>
      </c>
      <c r="K48" s="49">
        <f>K47-K46</f>
        <v>2719.5</v>
      </c>
      <c r="L48" s="49">
        <f>L47-L46</f>
        <v>29995</v>
      </c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s">
        <v>3</v>
      </c>
      <c r="D50" s="11">
        <f>D10+D20+D30+D40</f>
        <v>1103550</v>
      </c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s">
        <v>181</v>
      </c>
      <c r="D51" s="11">
        <f>D11+D21+D31+D41</f>
        <v>141786</v>
      </c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s">
        <v>1</v>
      </c>
      <c r="D52" s="11">
        <f>D12+D22+D32+D42</f>
        <v>112054</v>
      </c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s">
        <v>182</v>
      </c>
      <c r="D53" s="11">
        <f>D13+D23+D33+D43</f>
        <v>200000</v>
      </c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s">
        <v>2</v>
      </c>
      <c r="D54" s="11">
        <f>D14+D24+D34+D44</f>
        <v>232000</v>
      </c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s">
        <v>183</v>
      </c>
      <c r="D55" s="11">
        <f>SUM(D51:D54)</f>
        <v>685840</v>
      </c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>
        <f>D50-D55</f>
        <v>417710</v>
      </c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s">
        <v>164</v>
      </c>
      <c r="D57" s="11">
        <f>D16+D26+D36+D46</f>
        <v>455810</v>
      </c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s">
        <v>166</v>
      </c>
      <c r="D59" s="11">
        <f>D57-D58</f>
        <v>295810</v>
      </c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s">
        <v>167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s">
        <v>168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s">
        <v>169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2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77"/>
  <sheetViews>
    <sheetView view="pageBreakPreview" zoomScaleNormal="100" topLeftCell="B1" workbookViewId="0">
      <selection activeCell="B1" sqref="B1:K67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s">
        <v>140</v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s">
        <v>170</v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s">
        <v>197</v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s">
        <v>143</v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s">
        <v>172</v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L8" s="11"/>
    </row>
    <row r="9" s="1" customFormat="1" customHeight="1" spans="2:12">
      <c r="D9" s="17" t="s">
        <v>153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L9" s="11"/>
    </row>
    <row r="10" s="2" customFormat="1" customHeight="1" spans="2:12">
      <c r="B10" s="2" t="s">
        <v>4</v>
      </c>
      <c r="C10" s="2" t="s">
        <v>156</v>
      </c>
      <c r="D10" s="20">
        <f t="shared" ref="D10:D12" si="0">SUM(F10:K10)</f>
        <v>325190</v>
      </c>
      <c r="E10" s="20"/>
      <c r="F10" s="21">
        <v>93900</v>
      </c>
      <c r="G10" s="21"/>
      <c r="H10" s="21">
        <v>65795</v>
      </c>
      <c r="I10" s="21"/>
      <c r="J10" s="21">
        <v>89300</v>
      </c>
      <c r="K10" s="21">
        <v>76195</v>
      </c>
      <c r="L10" s="21"/>
    </row>
    <row r="11" s="1" customFormat="1" customHeight="1" spans="2:12">
      <c r="C11" s="10" t="s">
        <v>0</v>
      </c>
      <c r="D11" s="22">
        <f t="shared" si="0"/>
        <v>41890.5</v>
      </c>
      <c r="E11" s="23">
        <f>D11/D10</f>
        <v>0.128818536855377</v>
      </c>
      <c r="F11" s="24">
        <f>JULY!D5</f>
        <v>11068.5</v>
      </c>
      <c r="G11" s="11"/>
      <c r="H11" s="24">
        <f>JULY!D6</f>
        <v>14758</v>
      </c>
      <c r="I11" s="11"/>
      <c r="J11" s="11">
        <f>JULY!D7</f>
        <v>0</v>
      </c>
      <c r="K11" s="11">
        <f>JULY!D8</f>
        <v>16064</v>
      </c>
      <c r="L11" s="11"/>
    </row>
    <row r="12" s="1" customFormat="1" customHeight="1" spans="2:12">
      <c r="C12" s="10" t="s">
        <v>157</v>
      </c>
      <c r="D12" s="22">
        <f t="shared" si="0"/>
        <v>36455</v>
      </c>
      <c r="E12" s="23">
        <f>D12/D10</f>
        <v>0.112103693225499</v>
      </c>
      <c r="F12" s="24">
        <f>JULY!H5</f>
        <v>10570</v>
      </c>
      <c r="G12" s="11"/>
      <c r="H12" s="11">
        <f>JULY!H6</f>
        <v>6900</v>
      </c>
      <c r="I12" s="11"/>
      <c r="J12" s="11">
        <f>JULY!H7</f>
        <v>9065</v>
      </c>
      <c r="K12" s="11">
        <f>JULY!H8</f>
        <v>9920</v>
      </c>
      <c r="L12" s="11"/>
    </row>
    <row r="13" s="1" customFormat="1" customHeight="1" spans="2:12">
      <c r="C13" s="10" t="s">
        <v>158</v>
      </c>
      <c r="D13" s="22">
        <v>50000</v>
      </c>
      <c r="E13" s="23">
        <f>D13/D10</f>
        <v>0.153756265567822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L13" s="11"/>
    </row>
    <row r="14" s="1" customFormat="1" customHeight="1" spans="2:12">
      <c r="C14" s="10" t="s">
        <v>159</v>
      </c>
      <c r="D14" s="25">
        <v>58000</v>
      </c>
      <c r="E14" s="26">
        <f>D14/D10</f>
        <v>0.178357268058673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L14" s="11"/>
    </row>
    <row r="15" s="3" customFormat="1" customHeight="1" spans="2:12">
      <c r="C15" s="3" t="s">
        <v>160</v>
      </c>
      <c r="D15" s="30">
        <f t="shared" ref="D15:H15" si="1">SUM(D11:D14)</f>
        <v>186345.5</v>
      </c>
      <c r="E15" s="30">
        <f>D15/D10</f>
        <v>0.573035763707371</v>
      </c>
      <c r="F15" s="31">
        <f t="shared" si="1"/>
        <v>48638.5</v>
      </c>
      <c r="G15" s="32"/>
      <c r="H15" s="32">
        <f t="shared" si="1"/>
        <v>48658</v>
      </c>
      <c r="I15" s="32"/>
      <c r="J15" s="32">
        <f>SUM(J11:J14)</f>
        <v>36065</v>
      </c>
      <c r="K15" s="32">
        <f>SUM(K11:K14)</f>
        <v>52984</v>
      </c>
      <c r="L15" s="32"/>
    </row>
    <row r="16" s="1" customFormat="1" customHeight="1" spans="2:12">
      <c r="C16" s="33" t="s">
        <v>161</v>
      </c>
      <c r="D16" s="23">
        <f>D10-D15</f>
        <v>138844.5</v>
      </c>
      <c r="E16" s="23">
        <f>D16/D10</f>
        <v>0.426964236292629</v>
      </c>
      <c r="F16" s="24">
        <f>SUM(F10-F11-F12-F14)</f>
        <v>57761.5</v>
      </c>
      <c r="G16" s="11"/>
      <c r="H16" s="11">
        <f t="shared" ref="H16:K16" si="2">SUM(H10-H11-H12-H13-H14)</f>
        <v>17137</v>
      </c>
      <c r="I16" s="11"/>
      <c r="J16" s="11">
        <f t="shared" si="2"/>
        <v>53235</v>
      </c>
      <c r="K16" s="11">
        <f t="shared" si="2"/>
        <v>23211</v>
      </c>
      <c r="L16" s="11"/>
    </row>
    <row r="17" s="1" customFormat="1" customHeight="1" spans="2:12">
      <c r="C17" s="34" t="s">
        <v>162</v>
      </c>
      <c r="D17" s="26">
        <f t="shared" ref="D17:H17" si="3">D10*0.45</f>
        <v>146335.5</v>
      </c>
      <c r="E17" s="23">
        <f>D17/D10</f>
        <v>0.45</v>
      </c>
      <c r="F17" s="26">
        <f t="shared" si="3"/>
        <v>42255</v>
      </c>
      <c r="G17" s="23"/>
      <c r="H17" s="26">
        <f t="shared" si="3"/>
        <v>29607.75</v>
      </c>
      <c r="I17" s="23"/>
      <c r="J17" s="26">
        <f>J10*0.45</f>
        <v>40185</v>
      </c>
      <c r="K17" s="11">
        <f>K10*0.45</f>
        <v>34287.75</v>
      </c>
      <c r="L17" s="11"/>
    </row>
    <row r="18" s="4" customFormat="1" customHeight="1" spans="2:12">
      <c r="C18" s="35" t="s">
        <v>163</v>
      </c>
      <c r="D18" s="4">
        <f t="shared" ref="D18:H18" si="4">D16-D17</f>
        <v>-7491</v>
      </c>
      <c r="F18" s="4">
        <f t="shared" si="4"/>
        <v>15506.5</v>
      </c>
      <c r="H18" s="4">
        <f t="shared" si="4"/>
        <v>-12470.75</v>
      </c>
      <c r="J18" s="4">
        <f>J16-J17</f>
        <v>13050</v>
      </c>
      <c r="K18" s="4">
        <f>K16-K17</f>
        <v>-11076.75</v>
      </c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s">
        <v>26</v>
      </c>
      <c r="C20" s="2" t="s">
        <v>156</v>
      </c>
      <c r="D20" s="21">
        <f t="shared" ref="D20:D22" si="5">SUM(F20:K20)</f>
        <v>192640</v>
      </c>
      <c r="E20" s="21"/>
      <c r="F20" s="21">
        <v>98050</v>
      </c>
      <c r="G20" s="21"/>
      <c r="H20" s="21">
        <v>16795</v>
      </c>
      <c r="I20" s="21"/>
      <c r="J20" s="21">
        <v>29000</v>
      </c>
      <c r="K20" s="21">
        <v>48795</v>
      </c>
      <c r="L20" s="21"/>
    </row>
    <row r="21" s="1" customFormat="1" customHeight="1" spans="2:12">
      <c r="C21" s="10" t="s">
        <v>0</v>
      </c>
      <c r="D21" s="23">
        <f t="shared" si="5"/>
        <v>30200.34</v>
      </c>
      <c r="E21" s="36">
        <f>D21/D20</f>
        <v>0.156770867940199</v>
      </c>
      <c r="F21" s="24">
        <f>JULY!D15</f>
        <v>0</v>
      </c>
      <c r="G21" s="11"/>
      <c r="H21" s="24">
        <f>JULY!D16</f>
        <v>18152.34</v>
      </c>
      <c r="I21" s="11"/>
      <c r="J21" s="11">
        <f>JULY!D7</f>
        <v>0</v>
      </c>
      <c r="K21" s="11">
        <f>JULY!D18</f>
        <v>12048</v>
      </c>
      <c r="L21" s="11"/>
    </row>
    <row r="22" s="1" customFormat="1" customHeight="1" spans="2:12">
      <c r="C22" s="10" t="s">
        <v>157</v>
      </c>
      <c r="D22" s="23">
        <f t="shared" si="5"/>
        <v>23875</v>
      </c>
      <c r="E22" s="36">
        <f>D22/D20</f>
        <v>0.123935838870432</v>
      </c>
      <c r="F22" s="24">
        <f>JULY!H15</f>
        <v>7855</v>
      </c>
      <c r="G22" s="11"/>
      <c r="H22" s="11">
        <f>JULY!H16</f>
        <v>2320</v>
      </c>
      <c r="I22" s="11"/>
      <c r="J22" s="11">
        <f>JULY!H17</f>
        <v>4535</v>
      </c>
      <c r="K22" s="11">
        <f>JULY!H18</f>
        <v>9165</v>
      </c>
      <c r="L22" s="11"/>
    </row>
    <row r="23" s="1" customFormat="1" customHeight="1" spans="2:12">
      <c r="C23" s="10" t="s">
        <v>158</v>
      </c>
      <c r="D23" s="23">
        <v>50000</v>
      </c>
      <c r="E23" s="36">
        <f>D23/D20</f>
        <v>0.259551495016611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L23" s="11"/>
    </row>
    <row r="24" s="1" customFormat="1" customHeight="1" spans="2:12">
      <c r="C24" s="10" t="s">
        <v>159</v>
      </c>
      <c r="D24" s="26">
        <v>58000</v>
      </c>
      <c r="E24" s="36">
        <f>D24/D20</f>
        <v>0.301079734219269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L24" s="11"/>
    </row>
    <row r="25" s="3" customFormat="1" customHeight="1" spans="2:12">
      <c r="C25" s="3" t="s">
        <v>160</v>
      </c>
      <c r="D25" s="32">
        <f t="shared" ref="D25:H25" si="6">SUM(D21:D24)</f>
        <v>162075.34</v>
      </c>
      <c r="E25" s="37">
        <f>D25/D20</f>
        <v>0.841337936046512</v>
      </c>
      <c r="F25" s="31">
        <f t="shared" si="6"/>
        <v>34855</v>
      </c>
      <c r="G25" s="32"/>
      <c r="H25" s="31">
        <f t="shared" si="6"/>
        <v>47472.34</v>
      </c>
      <c r="I25" s="32"/>
      <c r="J25" s="31">
        <f>SUM(J21:J24)</f>
        <v>31535</v>
      </c>
      <c r="K25" s="32">
        <f>SUM(K21:K24)</f>
        <v>48213</v>
      </c>
      <c r="L25" s="32"/>
    </row>
    <row r="26" s="1" customFormat="1" customHeight="1" spans="2:12">
      <c r="C26" s="33" t="s">
        <v>161</v>
      </c>
      <c r="D26" s="23">
        <f>D20-D25</f>
        <v>30564.66</v>
      </c>
      <c r="E26" s="36">
        <f>D26/D20</f>
        <v>0.158662063953488</v>
      </c>
      <c r="F26" s="24">
        <f t="shared" ref="F26:J26" si="7">SUM(F20-F21-F22-F24)</f>
        <v>75695</v>
      </c>
      <c r="G26" s="11"/>
      <c r="H26" s="11">
        <f t="shared" si="7"/>
        <v>-18177.34</v>
      </c>
      <c r="I26" s="11"/>
      <c r="J26" s="11">
        <f t="shared" si="7"/>
        <v>9965</v>
      </c>
      <c r="K26" s="11">
        <f>SUM(K20-K21-K22-K23-K24)</f>
        <v>582</v>
      </c>
      <c r="L26" s="11"/>
    </row>
    <row r="27" s="1" customFormat="1" customHeight="1" spans="2:12">
      <c r="C27" s="38" t="s">
        <v>162</v>
      </c>
      <c r="D27" s="26">
        <f t="shared" ref="D27:H27" si="8">D20*0.45</f>
        <v>86688</v>
      </c>
      <c r="E27" s="36">
        <f>D27/D20</f>
        <v>0.45</v>
      </c>
      <c r="F27" s="26">
        <f t="shared" si="8"/>
        <v>44122.5</v>
      </c>
      <c r="G27" s="23"/>
      <c r="H27" s="26">
        <f t="shared" si="8"/>
        <v>7557.75</v>
      </c>
      <c r="I27" s="23"/>
      <c r="J27" s="26">
        <f>J20*0.45</f>
        <v>13050</v>
      </c>
      <c r="K27" s="29">
        <f>K20*0.45</f>
        <v>21957.75</v>
      </c>
      <c r="L27" s="11"/>
    </row>
    <row r="28" s="5" customFormat="1" customHeight="1" spans="2:12">
      <c r="C28" s="39" t="s">
        <v>163</v>
      </c>
      <c r="D28" s="4">
        <f t="shared" ref="D28:H28" si="9">D26-D27</f>
        <v>-56123.34</v>
      </c>
      <c r="E28" s="4"/>
      <c r="F28" s="4">
        <f t="shared" si="9"/>
        <v>31572.5</v>
      </c>
      <c r="G28" s="4"/>
      <c r="H28" s="4">
        <f t="shared" si="9"/>
        <v>-25735.09</v>
      </c>
      <c r="I28" s="4"/>
      <c r="J28" s="4">
        <f>J26-J27</f>
        <v>-3085</v>
      </c>
      <c r="K28" s="4">
        <f>K26-K27</f>
        <v>-21375.75</v>
      </c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s">
        <v>28</v>
      </c>
      <c r="C30" s="40" t="s">
        <v>156</v>
      </c>
      <c r="D30" s="21">
        <f t="shared" ref="D30:D32" si="10">SUM(F30:K30)</f>
        <v>220565</v>
      </c>
      <c r="E30" s="41"/>
      <c r="F30" s="42">
        <v>50695</v>
      </c>
      <c r="G30" s="42"/>
      <c r="H30" s="43">
        <v>41400</v>
      </c>
      <c r="I30" s="43"/>
      <c r="J30" s="43">
        <v>51170</v>
      </c>
      <c r="K30" s="43">
        <v>77300</v>
      </c>
      <c r="L30" s="43"/>
    </row>
    <row r="31" s="1" customFormat="1" customHeight="1" spans="2:12">
      <c r="C31" s="10" t="s">
        <v>0</v>
      </c>
      <c r="D31" s="23">
        <f t="shared" si="10"/>
        <v>42060</v>
      </c>
      <c r="E31" s="36">
        <f>D31/D30</f>
        <v>0.190692086233083</v>
      </c>
      <c r="F31" s="24">
        <f>JULY!D24</f>
        <v>11068.5</v>
      </c>
      <c r="G31" s="11"/>
      <c r="H31" s="44">
        <f>JULY!D25</f>
        <v>11068.5</v>
      </c>
      <c r="I31" s="11"/>
      <c r="J31" s="11">
        <f>JULY!D26</f>
        <v>0</v>
      </c>
      <c r="K31" s="11">
        <f>JULY!D27</f>
        <v>19923</v>
      </c>
      <c r="L31" s="11"/>
    </row>
    <row r="32" s="1" customFormat="1" customHeight="1" spans="2:12">
      <c r="C32" s="10" t="s">
        <v>157</v>
      </c>
      <c r="D32" s="23">
        <f t="shared" si="10"/>
        <v>37000</v>
      </c>
      <c r="E32" s="36">
        <f>D32/D30</f>
        <v>0.16775100310566</v>
      </c>
      <c r="F32" s="24">
        <f>JULY!H24</f>
        <v>9690</v>
      </c>
      <c r="G32" s="11"/>
      <c r="H32" s="11">
        <f>JULY!H25</f>
        <v>7160</v>
      </c>
      <c r="I32" s="11"/>
      <c r="J32" s="11">
        <f>JULY!H26</f>
        <v>11490</v>
      </c>
      <c r="K32" s="11">
        <f>JULY!H27</f>
        <v>8660</v>
      </c>
      <c r="L32" s="11"/>
    </row>
    <row r="33" s="1" customFormat="1" customHeight="1" spans="2:12">
      <c r="C33" s="10" t="s">
        <v>158</v>
      </c>
      <c r="D33" s="23">
        <v>50000</v>
      </c>
      <c r="E33" s="36">
        <f>D33/D30</f>
        <v>0.226690544737379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L33" s="11"/>
    </row>
    <row r="34" s="1" customFormat="1" customHeight="1" spans="2:12">
      <c r="C34" s="10" t="s">
        <v>159</v>
      </c>
      <c r="D34" s="26">
        <v>58000</v>
      </c>
      <c r="E34" s="36">
        <f>D34/D30</f>
        <v>0.26296103189536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L34" s="11"/>
    </row>
    <row r="35" s="7" customFormat="1" customHeight="1" spans="2:12">
      <c r="C35" s="3" t="s">
        <v>160</v>
      </c>
      <c r="D35" s="32">
        <f t="shared" ref="D35:H35" si="11">SUM(D31:D34)</f>
        <v>187060</v>
      </c>
      <c r="E35" s="45">
        <f>D35/D30</f>
        <v>0.848094665971482</v>
      </c>
      <c r="F35" s="32">
        <f t="shared" si="11"/>
        <v>47758.5</v>
      </c>
      <c r="G35" s="46"/>
      <c r="H35" s="32">
        <f t="shared" si="11"/>
        <v>45228.5</v>
      </c>
      <c r="I35" s="46"/>
      <c r="J35" s="32">
        <f>SUM(J31:J34)</f>
        <v>38490</v>
      </c>
      <c r="K35" s="46">
        <f>K31:K31</f>
        <v>19923</v>
      </c>
      <c r="L35" s="46"/>
    </row>
    <row r="36" s="1" customFormat="1" customHeight="1" spans="2:12">
      <c r="C36" s="33" t="s">
        <v>161</v>
      </c>
      <c r="D36" s="19">
        <f>SUM(F36:J36)</f>
        <v>49288</v>
      </c>
      <c r="E36" s="36">
        <f>D36/D30</f>
        <v>0.223462471380319</v>
      </c>
      <c r="F36" s="24">
        <f t="shared" ref="F36:J36" si="12">SUM(F30-F31-F32-F34)</f>
        <v>15436.5</v>
      </c>
      <c r="G36" s="11"/>
      <c r="H36" s="11">
        <f t="shared" si="12"/>
        <v>8671.5</v>
      </c>
      <c r="I36" s="11"/>
      <c r="J36" s="11">
        <f t="shared" si="12"/>
        <v>25180</v>
      </c>
      <c r="K36" s="11">
        <f>SUM(K30-K31-K32-K33-K34)</f>
        <v>21717</v>
      </c>
      <c r="L36" s="11"/>
    </row>
    <row r="37" s="1" customFormat="1" customHeight="1" spans="2:12">
      <c r="C37" s="38" t="s">
        <v>162</v>
      </c>
      <c r="D37" s="26">
        <f t="shared" ref="D37:H37" si="13">D30*0.45</f>
        <v>99254.25</v>
      </c>
      <c r="E37" s="36">
        <f>D37/D30</f>
        <v>0.45</v>
      </c>
      <c r="F37" s="26">
        <f t="shared" si="13"/>
        <v>22812.75</v>
      </c>
      <c r="G37" s="11"/>
      <c r="H37" s="26">
        <f t="shared" si="13"/>
        <v>18630</v>
      </c>
      <c r="I37" s="11"/>
      <c r="J37" s="26">
        <f>J30*0.45</f>
        <v>23026.5</v>
      </c>
      <c r="K37" s="29">
        <f>K30*0.45</f>
        <v>34785</v>
      </c>
      <c r="L37" s="11"/>
    </row>
    <row r="38" s="8" customFormat="1" customHeight="1" spans="2:12">
      <c r="C38" s="47" t="s">
        <v>163</v>
      </c>
      <c r="D38" s="4">
        <f t="shared" ref="D38:H38" si="14">SUM(D36-D37)</f>
        <v>-49966.25</v>
      </c>
      <c r="E38" s="48"/>
      <c r="F38" s="4">
        <f t="shared" si="14"/>
        <v>-7376.25</v>
      </c>
      <c r="G38" s="49"/>
      <c r="H38" s="4">
        <f t="shared" si="14"/>
        <v>-9958.5</v>
      </c>
      <c r="I38" s="49"/>
      <c r="J38" s="4">
        <f>SUM(J36-J37)</f>
        <v>2153.5</v>
      </c>
      <c r="K38" s="49">
        <f>K36-K37</f>
        <v>-13068</v>
      </c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s">
        <v>30</v>
      </c>
      <c r="C40" s="40" t="s">
        <v>156</v>
      </c>
      <c r="D40" s="21">
        <f t="shared" ref="D40:D42" si="15">SUM(F40:K40)</f>
        <v>122940</v>
      </c>
      <c r="E40" s="41"/>
      <c r="F40" s="42">
        <v>13845</v>
      </c>
      <c r="G40" s="42"/>
      <c r="H40" s="43">
        <v>10495</v>
      </c>
      <c r="I40" s="43"/>
      <c r="J40" s="43">
        <v>15800</v>
      </c>
      <c r="K40" s="43">
        <v>82800</v>
      </c>
      <c r="L40" s="43"/>
    </row>
    <row r="41" s="1" customFormat="1" customHeight="1" spans="2:12">
      <c r="C41" s="10" t="s">
        <v>0</v>
      </c>
      <c r="D41" s="23">
        <f t="shared" si="15"/>
        <v>30822</v>
      </c>
      <c r="E41" s="36">
        <f>D41/D40</f>
        <v>0.25070766227428</v>
      </c>
      <c r="F41" s="24">
        <f>JULY!D33</f>
        <v>14758</v>
      </c>
      <c r="G41" s="11"/>
      <c r="H41" s="11">
        <f>JULY!D34</f>
        <v>0</v>
      </c>
      <c r="I41" s="11"/>
      <c r="J41" s="11">
        <f>JULY!D35</f>
        <v>0</v>
      </c>
      <c r="K41" s="11">
        <f>JULY!D36</f>
        <v>16064</v>
      </c>
      <c r="L41" s="11"/>
    </row>
    <row r="42" s="1" customFormat="1" customHeight="1" spans="2:12">
      <c r="C42" s="10" t="s">
        <v>157</v>
      </c>
      <c r="D42" s="23">
        <f t="shared" si="15"/>
        <v>15135</v>
      </c>
      <c r="E42" s="36">
        <f>D42/D40</f>
        <v>0.123108833577355</v>
      </c>
      <c r="F42" s="24">
        <f>JULY!H33</f>
        <v>0</v>
      </c>
      <c r="G42" s="11"/>
      <c r="H42" s="11">
        <f>JULY!H34</f>
        <v>4535</v>
      </c>
      <c r="I42" s="11"/>
      <c r="J42" s="11">
        <f>JULY!H35</f>
        <v>3905</v>
      </c>
      <c r="K42" s="11">
        <f>JULY!H36</f>
        <v>6695</v>
      </c>
      <c r="L42" s="11"/>
    </row>
    <row r="43" s="1" customFormat="1" customHeight="1" spans="2:12">
      <c r="C43" s="10" t="s">
        <v>158</v>
      </c>
      <c r="D43" s="23">
        <v>50000</v>
      </c>
      <c r="E43" s="36">
        <f>D43/D40</f>
        <v>0.406702456482837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L43" s="11"/>
    </row>
    <row r="44" s="1" customFormat="1" customHeight="1" spans="2:12">
      <c r="C44" s="10" t="s">
        <v>159</v>
      </c>
      <c r="D44" s="26">
        <v>58000</v>
      </c>
      <c r="E44" s="36">
        <f>D44/D40</f>
        <v>0.471774849520091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L44" s="11"/>
    </row>
    <row r="45" s="3" customFormat="1" customHeight="1" spans="2:12">
      <c r="C45" s="3" t="s">
        <v>160</v>
      </c>
      <c r="D45" s="32">
        <f t="shared" ref="D45:H45" si="16">SUM(D41:D44)</f>
        <v>153957</v>
      </c>
      <c r="E45" s="32">
        <f>D45/D40</f>
        <v>1.25229380185456</v>
      </c>
      <c r="F45" s="32">
        <f t="shared" si="16"/>
        <v>41758</v>
      </c>
      <c r="G45" s="32"/>
      <c r="H45" s="32">
        <f t="shared" si="16"/>
        <v>31535</v>
      </c>
      <c r="I45" s="32"/>
      <c r="J45" s="32">
        <f>SUM(J41:J44)</f>
        <v>30905</v>
      </c>
      <c r="K45" s="32">
        <f>SUM(K41:K44)</f>
        <v>49759</v>
      </c>
      <c r="L45" s="32"/>
    </row>
    <row r="46" s="1" customFormat="1" customHeight="1" spans="2:12">
      <c r="C46" s="33" t="s">
        <v>161</v>
      </c>
      <c r="D46" s="23">
        <f>D40-D45</f>
        <v>-31017</v>
      </c>
      <c r="E46" s="36">
        <f>D46/D40</f>
        <v>-0.252293801854563</v>
      </c>
      <c r="F46" s="24">
        <f t="shared" ref="F46:J46" si="17">SUM(F40-F41-F42-F44)</f>
        <v>-15413</v>
      </c>
      <c r="G46" s="11"/>
      <c r="H46" s="11">
        <f t="shared" si="17"/>
        <v>-8540</v>
      </c>
      <c r="I46" s="11"/>
      <c r="J46" s="11">
        <f t="shared" si="17"/>
        <v>-2605</v>
      </c>
      <c r="K46" s="11">
        <f>SUM(K40-K41-K42-K43-K44)</f>
        <v>33041</v>
      </c>
      <c r="L46" s="11"/>
    </row>
    <row r="47" s="1" customFormat="1" customHeight="1" spans="2:12">
      <c r="C47" s="38" t="s">
        <v>162</v>
      </c>
      <c r="D47" s="29">
        <f t="shared" ref="D47:H47" si="18">D40*0.45</f>
        <v>55323</v>
      </c>
      <c r="E47" s="11">
        <f>D47/D40</f>
        <v>0.45</v>
      </c>
      <c r="F47" s="29">
        <f t="shared" si="18"/>
        <v>6230.25</v>
      </c>
      <c r="G47" s="11"/>
      <c r="H47" s="29">
        <f t="shared" si="18"/>
        <v>4722.75</v>
      </c>
      <c r="I47" s="11"/>
      <c r="J47" s="29">
        <f>J40*0.45</f>
        <v>7110</v>
      </c>
      <c r="K47" s="11">
        <f>K40*0.45</f>
        <v>37260</v>
      </c>
      <c r="L47" s="11"/>
    </row>
    <row r="48" s="8" customFormat="1" customHeight="1" spans="2:12">
      <c r="C48" s="47" t="s">
        <v>163</v>
      </c>
      <c r="D48" s="49">
        <f t="shared" ref="D48:H48" si="19">D46-D47</f>
        <v>-86340</v>
      </c>
      <c r="E48" s="49"/>
      <c r="F48" s="49">
        <f t="shared" si="19"/>
        <v>-21643.25</v>
      </c>
      <c r="G48" s="49"/>
      <c r="H48" s="49">
        <f t="shared" si="19"/>
        <v>-13262.75</v>
      </c>
      <c r="I48" s="49"/>
      <c r="J48" s="49">
        <f>J46-J47</f>
        <v>-9715</v>
      </c>
      <c r="K48" s="49">
        <f>K47-K46</f>
        <v>4219</v>
      </c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s">
        <v>3</v>
      </c>
      <c r="D50" s="11">
        <f t="shared" ref="D50:D54" si="20">D10+D20+D30+D40</f>
        <v>861335</v>
      </c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s">
        <v>181</v>
      </c>
      <c r="D51" s="11">
        <f t="shared" si="20"/>
        <v>144972.84</v>
      </c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s">
        <v>1</v>
      </c>
      <c r="D52" s="11">
        <f t="shared" si="20"/>
        <v>112465</v>
      </c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s">
        <v>182</v>
      </c>
      <c r="D53" s="11">
        <f t="shared" si="20"/>
        <v>200000</v>
      </c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s">
        <v>2</v>
      </c>
      <c r="D54" s="11">
        <f t="shared" si="20"/>
        <v>232000</v>
      </c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s">
        <v>183</v>
      </c>
      <c r="D55" s="11">
        <f>SUM(D51:D54)</f>
        <v>689437.84</v>
      </c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>
        <f>D50-D55</f>
        <v>171897.16</v>
      </c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s">
        <v>164</v>
      </c>
      <c r="D57" s="11">
        <f>D16+D26+D36+D46</f>
        <v>187680.16</v>
      </c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s">
        <v>166</v>
      </c>
      <c r="D59" s="11">
        <f>D57-D58</f>
        <v>27680.16</v>
      </c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s">
        <v>167</v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s">
        <v>168</v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s">
        <v>169</v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77"/>
  <sheetViews>
    <sheetView view="pageBreakPreview" zoomScaleNormal="100" topLeftCell="A4" workbookViewId="0">
      <selection activeCell="B1" sqref="B1:K67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s">
        <v>140</v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s">
        <v>170</v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s">
        <v>198</v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s">
        <v>143</v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s">
        <v>172</v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L8" s="11"/>
    </row>
    <row r="9" s="1" customFormat="1" customHeight="1" spans="2:12">
      <c r="D9" s="17" t="s">
        <v>154</v>
      </c>
      <c r="E9" s="18" t="s">
        <v>148</v>
      </c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L9" s="11"/>
    </row>
    <row r="10" s="2" customFormat="1" customHeight="1" spans="2:12">
      <c r="B10" s="2" t="s">
        <v>4</v>
      </c>
      <c r="C10" s="2" t="s">
        <v>156</v>
      </c>
      <c r="D10" s="20">
        <f t="shared" ref="D10:D12" si="0">SUM(F10:K10)</f>
        <v>345550</v>
      </c>
      <c r="E10" s="20"/>
      <c r="F10" s="21">
        <v>95350</v>
      </c>
      <c r="G10" s="21"/>
      <c r="H10" s="21">
        <v>91620</v>
      </c>
      <c r="I10" s="21"/>
      <c r="J10" s="21">
        <v>73290</v>
      </c>
      <c r="K10" s="21">
        <v>85290</v>
      </c>
      <c r="L10" s="21"/>
    </row>
    <row r="11" s="1" customFormat="1" customHeight="1" spans="2:12">
      <c r="C11" s="10" t="s">
        <v>0</v>
      </c>
      <c r="D11" s="22">
        <f t="shared" si="0"/>
        <v>64256</v>
      </c>
      <c r="E11" s="23">
        <f>D11/D10</f>
        <v>0.185952828823615</v>
      </c>
      <c r="F11" s="24">
        <f>AUG!D5</f>
        <v>16064</v>
      </c>
      <c r="G11" s="11"/>
      <c r="H11" s="24">
        <f>AUG!D6</f>
        <v>16064</v>
      </c>
      <c r="I11" s="11"/>
      <c r="J11" s="11">
        <f>AUG!D9</f>
        <v>16064</v>
      </c>
      <c r="K11" s="11">
        <f>AUG!D10</f>
        <v>16064</v>
      </c>
      <c r="L11" s="11"/>
    </row>
    <row r="12" s="1" customFormat="1" customHeight="1" spans="2:12">
      <c r="C12" s="10" t="s">
        <v>157</v>
      </c>
      <c r="D12" s="22">
        <f t="shared" si="0"/>
        <v>28248</v>
      </c>
      <c r="E12" s="23">
        <f>D12/D10</f>
        <v>0.0817479380697439</v>
      </c>
      <c r="F12" s="24">
        <f>AUG!I5</f>
        <v>8080</v>
      </c>
      <c r="G12" s="11"/>
      <c r="H12" s="11">
        <f>AUG!I8</f>
        <v>5350</v>
      </c>
      <c r="I12" s="11"/>
      <c r="J12" s="11">
        <f>AUG!I9</f>
        <v>8118</v>
      </c>
      <c r="K12" s="11">
        <f>AUG!I10</f>
        <v>6700</v>
      </c>
      <c r="L12" s="11"/>
    </row>
    <row r="13" s="1" customFormat="1" customHeight="1" spans="2:12">
      <c r="C13" s="10" t="s">
        <v>158</v>
      </c>
      <c r="D13" s="22">
        <v>50000</v>
      </c>
      <c r="E13" s="23">
        <f>D13/D10</f>
        <v>0.144696860078136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L13" s="11"/>
    </row>
    <row r="14" s="1" customFormat="1" customHeight="1" spans="2:12">
      <c r="C14" s="10" t="s">
        <v>159</v>
      </c>
      <c r="D14" s="25">
        <v>58000</v>
      </c>
      <c r="E14" s="26">
        <f>D14/D10</f>
        <v>0.167848357690638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L14" s="11"/>
    </row>
    <row r="15" s="3" customFormat="1" customHeight="1" spans="2:12">
      <c r="C15" s="3" t="s">
        <v>160</v>
      </c>
      <c r="D15" s="30">
        <f t="shared" ref="D15:H15" si="1">SUM(D11:D14)</f>
        <v>200504</v>
      </c>
      <c r="E15" s="30">
        <f>D15/D10</f>
        <v>0.580245984662133</v>
      </c>
      <c r="F15" s="31">
        <f t="shared" si="1"/>
        <v>51144</v>
      </c>
      <c r="G15" s="32"/>
      <c r="H15" s="32">
        <f t="shared" si="1"/>
        <v>48414</v>
      </c>
      <c r="I15" s="32"/>
      <c r="J15" s="32">
        <f>SUM(J11:J14)</f>
        <v>51182</v>
      </c>
      <c r="K15" s="32">
        <f>SUM(K11:K14)</f>
        <v>49764</v>
      </c>
      <c r="L15" s="32"/>
    </row>
    <row r="16" s="1" customFormat="1" customHeight="1" spans="2:12">
      <c r="C16" s="33" t="s">
        <v>161</v>
      </c>
      <c r="D16" s="23">
        <f>D10-D15</f>
        <v>145046</v>
      </c>
      <c r="E16" s="23">
        <f>D16/D10</f>
        <v>0.419754015337867</v>
      </c>
      <c r="F16" s="24">
        <f>F10-F15</f>
        <v>44206</v>
      </c>
      <c r="G16" s="11"/>
      <c r="H16" s="11">
        <f>H10-H15</f>
        <v>43206</v>
      </c>
      <c r="I16" s="11"/>
      <c r="J16" s="11">
        <f>J10-J15</f>
        <v>22108</v>
      </c>
      <c r="K16" s="11">
        <f>K10-K15</f>
        <v>35526</v>
      </c>
      <c r="L16" s="11"/>
    </row>
    <row r="17" s="1" customFormat="1" customHeight="1" spans="2:12">
      <c r="C17" s="34" t="s">
        <v>162</v>
      </c>
      <c r="D17" s="26">
        <f t="shared" ref="D17:H17" si="2">D10*0.45</f>
        <v>155497.5</v>
      </c>
      <c r="E17" s="23">
        <f>D17/D10</f>
        <v>0.45</v>
      </c>
      <c r="F17" s="26">
        <f t="shared" si="2"/>
        <v>42907.5</v>
      </c>
      <c r="G17" s="23"/>
      <c r="H17" s="26">
        <f t="shared" si="2"/>
        <v>41229</v>
      </c>
      <c r="I17" s="23"/>
      <c r="J17" s="26">
        <f>J10*0.45</f>
        <v>32980.5</v>
      </c>
      <c r="K17" s="11">
        <f>K10*0.45</f>
        <v>38380.5</v>
      </c>
      <c r="L17" s="11"/>
    </row>
    <row r="18" s="4" customFormat="1" customHeight="1" spans="2:12">
      <c r="C18" s="35" t="s">
        <v>163</v>
      </c>
      <c r="D18" s="4">
        <f t="shared" ref="D18:H18" si="3">D16-D17</f>
        <v>-10451.5</v>
      </c>
      <c r="F18" s="4">
        <f t="shared" si="3"/>
        <v>1298.5</v>
      </c>
      <c r="H18" s="4">
        <f t="shared" si="3"/>
        <v>1977</v>
      </c>
      <c r="J18" s="4">
        <f>J16-J17</f>
        <v>-10872.5</v>
      </c>
      <c r="K18" s="4">
        <f>K16-K17</f>
        <v>-2854.5</v>
      </c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s">
        <v>26</v>
      </c>
      <c r="C20" s="2" t="s">
        <v>156</v>
      </c>
      <c r="D20" s="21">
        <f t="shared" ref="D20:D22" si="4">SUM(F20:K20)</f>
        <v>178240</v>
      </c>
      <c r="E20" s="21"/>
      <c r="F20" s="21">
        <v>11150</v>
      </c>
      <c r="G20" s="21"/>
      <c r="H20" s="21">
        <v>52050</v>
      </c>
      <c r="I20" s="21"/>
      <c r="J20" s="21">
        <v>54895</v>
      </c>
      <c r="K20" s="21">
        <v>60145</v>
      </c>
      <c r="L20" s="21"/>
    </row>
    <row r="21" s="1" customFormat="1" customHeight="1" spans="2:12">
      <c r="C21" s="10" t="s">
        <v>0</v>
      </c>
      <c r="D21" s="23">
        <f t="shared" si="4"/>
        <v>28112</v>
      </c>
      <c r="E21" s="36">
        <f>D21/D20</f>
        <v>0.157719928186715</v>
      </c>
      <c r="F21" s="24">
        <f>AUG!D17</f>
        <v>0</v>
      </c>
      <c r="G21" s="11"/>
      <c r="H21" s="24">
        <f>AUG!D18</f>
        <v>16064</v>
      </c>
      <c r="I21" s="11"/>
      <c r="J21" s="11">
        <f>AUG!D19</f>
        <v>12048</v>
      </c>
      <c r="K21" s="11">
        <f>AUG!D20</f>
        <v>0</v>
      </c>
      <c r="L21" s="11"/>
    </row>
    <row r="22" s="1" customFormat="1" customHeight="1" spans="2:12">
      <c r="C22" s="10" t="s">
        <v>157</v>
      </c>
      <c r="D22" s="23">
        <f t="shared" si="4"/>
        <v>24713</v>
      </c>
      <c r="E22" s="36">
        <f>D22/D20</f>
        <v>0.13865013464991</v>
      </c>
      <c r="F22" s="24">
        <f>AUG!I17</f>
        <v>3350</v>
      </c>
      <c r="G22" s="11"/>
      <c r="H22" s="11">
        <f>AUG!I18</f>
        <v>5690</v>
      </c>
      <c r="I22" s="11"/>
      <c r="J22" s="11">
        <f>AUG!I19</f>
        <v>9678</v>
      </c>
      <c r="K22" s="11">
        <f>AUG!I20</f>
        <v>5995</v>
      </c>
      <c r="L22" s="11"/>
    </row>
    <row r="23" s="1" customFormat="1" customHeight="1" spans="2:12">
      <c r="C23" s="10" t="s">
        <v>158</v>
      </c>
      <c r="D23" s="23">
        <v>50000</v>
      </c>
      <c r="E23" s="36">
        <f>D23/D20</f>
        <v>0.280520646319569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L23" s="11"/>
    </row>
    <row r="24" s="1" customFormat="1" customHeight="1" spans="2:12">
      <c r="C24" s="10" t="s">
        <v>159</v>
      </c>
      <c r="D24" s="26">
        <v>58000</v>
      </c>
      <c r="E24" s="36">
        <f>D24/D20</f>
        <v>0.3254039497307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L24" s="11"/>
    </row>
    <row r="25" s="3" customFormat="1" customHeight="1" spans="2:12">
      <c r="C25" s="3" t="s">
        <v>160</v>
      </c>
      <c r="D25" s="32">
        <f t="shared" ref="D25:H25" si="5">SUM(D21:D24)</f>
        <v>160825</v>
      </c>
      <c r="E25" s="37">
        <f>D25/D20</f>
        <v>0.902294658886894</v>
      </c>
      <c r="F25" s="31">
        <f t="shared" si="5"/>
        <v>30350</v>
      </c>
      <c r="G25" s="32"/>
      <c r="H25" s="31">
        <f t="shared" si="5"/>
        <v>48754</v>
      </c>
      <c r="I25" s="32"/>
      <c r="J25" s="31">
        <f>SUM(J21:J24)</f>
        <v>48726</v>
      </c>
      <c r="K25" s="32">
        <f>SUM(K21:K24)</f>
        <v>32995</v>
      </c>
      <c r="L25" s="32"/>
    </row>
    <row r="26" s="1" customFormat="1" customHeight="1" spans="2:12">
      <c r="C26" s="33" t="s">
        <v>161</v>
      </c>
      <c r="D26" s="23">
        <f>D20-D25</f>
        <v>17415</v>
      </c>
      <c r="E26" s="36">
        <f>D26/D20</f>
        <v>0.0977053411131059</v>
      </c>
      <c r="F26" s="24">
        <f>F20-F25</f>
        <v>-19200</v>
      </c>
      <c r="G26" s="11"/>
      <c r="H26" s="11">
        <f>H20-H25</f>
        <v>3296</v>
      </c>
      <c r="I26" s="11"/>
      <c r="J26" s="11">
        <f>SUM(J20-J21-J22-J24)</f>
        <v>18669</v>
      </c>
      <c r="K26" s="11">
        <f>SUM(K20-K21-K22-K24)</f>
        <v>39650</v>
      </c>
      <c r="L26" s="11"/>
    </row>
    <row r="27" s="1" customFormat="1" customHeight="1" spans="2:12">
      <c r="C27" s="38" t="s">
        <v>162</v>
      </c>
      <c r="D27" s="26">
        <f t="shared" ref="D27:H27" si="6">D20*0.45</f>
        <v>80208</v>
      </c>
      <c r="E27" s="36">
        <f>D27/D20</f>
        <v>0.45</v>
      </c>
      <c r="F27" s="26">
        <f t="shared" si="6"/>
        <v>5017.5</v>
      </c>
      <c r="G27" s="23"/>
      <c r="H27" s="26">
        <f t="shared" si="6"/>
        <v>23422.5</v>
      </c>
      <c r="I27" s="23"/>
      <c r="J27" s="26">
        <f>J20-J25</f>
        <v>6169</v>
      </c>
      <c r="K27" s="29">
        <f>K20-K25</f>
        <v>27150</v>
      </c>
      <c r="L27" s="11"/>
    </row>
    <row r="28" s="5" customFormat="1" customHeight="1" spans="2:12">
      <c r="C28" s="39" t="s">
        <v>163</v>
      </c>
      <c r="D28" s="4">
        <f t="shared" ref="D28:H28" si="7">D26-D27</f>
        <v>-62793</v>
      </c>
      <c r="E28" s="4"/>
      <c r="F28" s="4">
        <f t="shared" si="7"/>
        <v>-24217.5</v>
      </c>
      <c r="G28" s="4"/>
      <c r="H28" s="4">
        <f t="shared" si="7"/>
        <v>-20126.5</v>
      </c>
      <c r="I28" s="4"/>
      <c r="J28" s="4">
        <f>J26-J27</f>
        <v>12500</v>
      </c>
      <c r="K28" s="4">
        <f>K26-K27</f>
        <v>12500</v>
      </c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s">
        <v>28</v>
      </c>
      <c r="C30" s="40" t="s">
        <v>156</v>
      </c>
      <c r="D30" s="21">
        <f t="shared" ref="D30:D32" si="8">SUM(F30:K30)</f>
        <v>220170</v>
      </c>
      <c r="E30" s="41"/>
      <c r="F30" s="42">
        <v>75050</v>
      </c>
      <c r="G30" s="42"/>
      <c r="H30" s="43">
        <v>75220</v>
      </c>
      <c r="I30" s="43"/>
      <c r="J30" s="43">
        <v>60400</v>
      </c>
      <c r="K30" s="43">
        <v>9500</v>
      </c>
      <c r="L30" s="43"/>
    </row>
    <row r="31" s="1" customFormat="1" customHeight="1" spans="2:12">
      <c r="C31" s="10" t="s">
        <v>0</v>
      </c>
      <c r="D31" s="23">
        <f t="shared" si="8"/>
        <v>52930.88</v>
      </c>
      <c r="E31" s="36">
        <f>D31/D30</f>
        <v>0.24040913839306</v>
      </c>
      <c r="F31" s="24">
        <v>24818.88</v>
      </c>
      <c r="G31" s="11"/>
      <c r="H31" s="44">
        <f>AUG!D28</f>
        <v>16064</v>
      </c>
      <c r="I31" s="11"/>
      <c r="J31" s="11">
        <f>AUG!D29</f>
        <v>12048</v>
      </c>
      <c r="K31" s="11">
        <f>AUG!D30</f>
        <v>0</v>
      </c>
      <c r="L31" s="11"/>
    </row>
    <row r="32" s="1" customFormat="1" customHeight="1" spans="2:12">
      <c r="C32" s="10" t="s">
        <v>157</v>
      </c>
      <c r="D32" s="23">
        <f t="shared" si="8"/>
        <v>29265</v>
      </c>
      <c r="E32" s="36">
        <f>D32/D30</f>
        <v>0.132920016351002</v>
      </c>
      <c r="F32" s="24">
        <f>AUG!I26</f>
        <v>8865</v>
      </c>
      <c r="G32" s="11"/>
      <c r="H32" s="11">
        <f>AUG!I29</f>
        <v>8660</v>
      </c>
      <c r="I32" s="11"/>
      <c r="J32" s="11">
        <f>AUG!I29</f>
        <v>8660</v>
      </c>
      <c r="K32" s="11">
        <f>AUG!I30</f>
        <v>3080</v>
      </c>
      <c r="L32" s="11"/>
    </row>
    <row r="33" s="1" customFormat="1" customHeight="1" spans="2:12">
      <c r="C33" s="10" t="s">
        <v>158</v>
      </c>
      <c r="D33" s="23">
        <v>50000</v>
      </c>
      <c r="E33" s="36">
        <f>D33/D30</f>
        <v>0.227097243039469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L33" s="11"/>
    </row>
    <row r="34" s="1" customFormat="1" customHeight="1" spans="2:12">
      <c r="C34" s="10" t="s">
        <v>159</v>
      </c>
      <c r="D34" s="26">
        <v>58000</v>
      </c>
      <c r="E34" s="36">
        <f>D34/D30</f>
        <v>0.263432801925785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L34" s="11"/>
    </row>
    <row r="35" s="7" customFormat="1" customHeight="1" spans="2:12">
      <c r="C35" s="3" t="s">
        <v>160</v>
      </c>
      <c r="D35" s="32">
        <f t="shared" ref="D35:H35" si="9">SUM(D31:D34)</f>
        <v>190195.88</v>
      </c>
      <c r="E35" s="45">
        <f>D35/D30</f>
        <v>0.863859199709316</v>
      </c>
      <c r="F35" s="32">
        <f t="shared" si="9"/>
        <v>60683.88</v>
      </c>
      <c r="G35" s="46"/>
      <c r="H35" s="32">
        <f t="shared" si="9"/>
        <v>51724</v>
      </c>
      <c r="I35" s="46"/>
      <c r="J35" s="32">
        <f>SUM(J31:J34)</f>
        <v>47708</v>
      </c>
      <c r="K35" s="46">
        <f>SUM(K31:K34)</f>
        <v>30080</v>
      </c>
      <c r="L35" s="46"/>
    </row>
    <row r="36" s="1" customFormat="1" customHeight="1" spans="2:12">
      <c r="C36" s="33" t="s">
        <v>161</v>
      </c>
      <c r="D36" s="19">
        <f>SUM(F36:J36)</f>
        <v>50554.12</v>
      </c>
      <c r="E36" s="36">
        <f>D36/D30</f>
        <v>0.22961402552573</v>
      </c>
      <c r="F36" s="24">
        <f>F30-F35</f>
        <v>14366.12</v>
      </c>
      <c r="G36" s="11"/>
      <c r="H36" s="11">
        <f>H30-H35</f>
        <v>23496</v>
      </c>
      <c r="I36" s="11"/>
      <c r="J36" s="11">
        <f>J30-J35</f>
        <v>12692</v>
      </c>
      <c r="K36" s="11">
        <f>K30-K35</f>
        <v>-20580</v>
      </c>
      <c r="L36" s="11"/>
    </row>
    <row r="37" s="1" customFormat="1" customHeight="1" spans="2:12">
      <c r="C37" s="38" t="s">
        <v>162</v>
      </c>
      <c r="D37" s="26">
        <f t="shared" ref="D37:H37" si="10">D30*0.45</f>
        <v>99076.5</v>
      </c>
      <c r="E37" s="36">
        <f>D37/D30</f>
        <v>0.45</v>
      </c>
      <c r="F37" s="26">
        <f t="shared" si="10"/>
        <v>33772.5</v>
      </c>
      <c r="G37" s="11"/>
      <c r="H37" s="26">
        <f t="shared" si="10"/>
        <v>33849</v>
      </c>
      <c r="I37" s="11"/>
      <c r="J37" s="26">
        <f>J30*0.45</f>
        <v>27180</v>
      </c>
      <c r="K37" s="29">
        <f>K30*0.45</f>
        <v>4275</v>
      </c>
      <c r="L37" s="11"/>
    </row>
    <row r="38" s="8" customFormat="1" customHeight="1" spans="2:12">
      <c r="C38" s="47" t="s">
        <v>163</v>
      </c>
      <c r="D38" s="4">
        <f t="shared" ref="D38:H38" si="11">SUM(D36-D37)</f>
        <v>-48522.38</v>
      </c>
      <c r="E38" s="48"/>
      <c r="F38" s="4">
        <f t="shared" si="11"/>
        <v>-19406.38</v>
      </c>
      <c r="G38" s="49"/>
      <c r="H38" s="4">
        <f t="shared" si="11"/>
        <v>-10353</v>
      </c>
      <c r="I38" s="49"/>
      <c r="J38" s="4">
        <f>SUM(J36-J37)</f>
        <v>-14488</v>
      </c>
      <c r="K38" s="49">
        <f>K36-K37</f>
        <v>-24855</v>
      </c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s">
        <v>30</v>
      </c>
      <c r="C40" s="40" t="s">
        <v>156</v>
      </c>
      <c r="D40" s="21">
        <f t="shared" ref="D40:D42" si="12">SUM(F40:K40)</f>
        <v>355524</v>
      </c>
      <c r="E40" s="41"/>
      <c r="F40" s="42">
        <v>64420</v>
      </c>
      <c r="G40" s="42"/>
      <c r="H40" s="43">
        <v>103450</v>
      </c>
      <c r="I40" s="43"/>
      <c r="J40" s="43">
        <v>123654</v>
      </c>
      <c r="K40" s="43">
        <v>64000</v>
      </c>
      <c r="L40" s="43"/>
    </row>
    <row r="41" s="1" customFormat="1" customHeight="1" spans="2:12">
      <c r="C41" s="10" t="s">
        <v>0</v>
      </c>
      <c r="D41" s="23">
        <f t="shared" si="12"/>
        <v>68272</v>
      </c>
      <c r="E41" s="36">
        <f>D41/D40</f>
        <v>0.192032042843802</v>
      </c>
      <c r="F41" s="24">
        <f>AUG!D37</f>
        <v>16064</v>
      </c>
      <c r="G41" s="11"/>
      <c r="H41" s="11">
        <f>AUG!D38</f>
        <v>16064</v>
      </c>
      <c r="I41" s="11"/>
      <c r="J41" s="11">
        <f>AUG!D41</f>
        <v>24096</v>
      </c>
      <c r="K41" s="11">
        <f>AUG!D42</f>
        <v>12048</v>
      </c>
      <c r="L41" s="11"/>
    </row>
    <row r="42" s="1" customFormat="1" customHeight="1" spans="2:12">
      <c r="C42" s="10" t="s">
        <v>157</v>
      </c>
      <c r="D42" s="23">
        <f t="shared" si="12"/>
        <v>35231</v>
      </c>
      <c r="E42" s="36">
        <f>D42/D40</f>
        <v>0.0990959822684263</v>
      </c>
      <c r="F42" s="24">
        <f>AUG!I37</f>
        <v>8870</v>
      </c>
      <c r="G42" s="11"/>
      <c r="H42" s="11">
        <f>AUG!I28</f>
        <v>7968</v>
      </c>
      <c r="I42" s="11"/>
      <c r="J42" s="11">
        <f>AUG!I39</f>
        <v>9978</v>
      </c>
      <c r="K42" s="11">
        <f>AUG!I42</f>
        <v>8415</v>
      </c>
      <c r="L42" s="11"/>
    </row>
    <row r="43" s="1" customFormat="1" customHeight="1" spans="2:12">
      <c r="C43" s="10" t="s">
        <v>158</v>
      </c>
      <c r="D43" s="23">
        <v>50000</v>
      </c>
      <c r="E43" s="36">
        <f>D43/D40</f>
        <v>0.14063748157649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L43" s="11"/>
    </row>
    <row r="44" s="1" customFormat="1" customHeight="1" spans="2:12">
      <c r="C44" s="10" t="s">
        <v>159</v>
      </c>
      <c r="D44" s="26">
        <v>58000</v>
      </c>
      <c r="E44" s="36">
        <f>D44/D40</f>
        <v>0.163139478628728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L44" s="11"/>
    </row>
    <row r="45" s="3" customFormat="1" customHeight="1" spans="2:12">
      <c r="C45" s="3" t="s">
        <v>160</v>
      </c>
      <c r="D45" s="32">
        <f t="shared" ref="D45:H45" si="13">SUM(D41:D44)</f>
        <v>211503</v>
      </c>
      <c r="E45" s="32">
        <f>D45/D40</f>
        <v>0.594904985317447</v>
      </c>
      <c r="F45" s="32">
        <f t="shared" si="13"/>
        <v>51934</v>
      </c>
      <c r="G45" s="32"/>
      <c r="H45" s="32">
        <f>SUM(H41:H44)</f>
        <v>51032</v>
      </c>
      <c r="I45" s="32"/>
      <c r="J45" s="32">
        <f>SUM(J41:J44)</f>
        <v>61074</v>
      </c>
      <c r="K45" s="32">
        <f>SUM(K41:K44)</f>
        <v>47463</v>
      </c>
      <c r="L45" s="32"/>
    </row>
    <row r="46" s="1" customFormat="1" customHeight="1" spans="2:12">
      <c r="C46" s="33" t="s">
        <v>161</v>
      </c>
      <c r="D46" s="23">
        <f>D40-D45</f>
        <v>144021</v>
      </c>
      <c r="E46" s="36">
        <f>D46/D40</f>
        <v>0.405095014682553</v>
      </c>
      <c r="F46" s="24">
        <f>F40-F45</f>
        <v>12486</v>
      </c>
      <c r="G46" s="11"/>
      <c r="H46" s="11">
        <f>H40-H45</f>
        <v>52418</v>
      </c>
      <c r="I46" s="11"/>
      <c r="J46" s="11">
        <f>J40-J45</f>
        <v>62580</v>
      </c>
      <c r="K46" s="11">
        <f>K40-K45</f>
        <v>16537</v>
      </c>
      <c r="L46" s="11"/>
    </row>
    <row r="47" s="1" customFormat="1" customHeight="1" spans="2:12">
      <c r="C47" s="38" t="s">
        <v>162</v>
      </c>
      <c r="D47" s="29">
        <f t="shared" ref="D47:H47" si="14">D40*0.45</f>
        <v>159985.8</v>
      </c>
      <c r="E47" s="11">
        <f>D47/D40</f>
        <v>0.45</v>
      </c>
      <c r="F47" s="29">
        <f t="shared" si="14"/>
        <v>28989</v>
      </c>
      <c r="G47" s="11"/>
      <c r="H47" s="29">
        <f t="shared" si="14"/>
        <v>46552.5</v>
      </c>
      <c r="I47" s="11"/>
      <c r="J47" s="29">
        <f>J40*0.45</f>
        <v>55644.3</v>
      </c>
      <c r="K47" s="11">
        <f>K40*0.45</f>
        <v>28800</v>
      </c>
      <c r="L47" s="11"/>
    </row>
    <row r="48" s="8" customFormat="1" customHeight="1" spans="2:12">
      <c r="C48" s="47" t="s">
        <v>163</v>
      </c>
      <c r="D48" s="49">
        <f t="shared" ref="D48:H48" si="15">D46-D47</f>
        <v>-15964.8</v>
      </c>
      <c r="E48" s="49"/>
      <c r="F48" s="49">
        <f t="shared" si="15"/>
        <v>-16503</v>
      </c>
      <c r="G48" s="49"/>
      <c r="H48" s="49">
        <f t="shared" si="15"/>
        <v>5865.5</v>
      </c>
      <c r="I48" s="49"/>
      <c r="J48" s="49">
        <f>J46-J47</f>
        <v>6935.7</v>
      </c>
      <c r="K48" s="49">
        <f>K47-K46</f>
        <v>12263</v>
      </c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s">
        <v>3</v>
      </c>
      <c r="D50" s="11">
        <f t="shared" ref="D50:D54" si="16">D10+D20+D30+D40</f>
        <v>1099484</v>
      </c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s">
        <v>181</v>
      </c>
      <c r="D51" s="11">
        <f t="shared" si="16"/>
        <v>213570.88</v>
      </c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s">
        <v>1</v>
      </c>
      <c r="D52" s="11">
        <f t="shared" si="16"/>
        <v>117457</v>
      </c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s">
        <v>182</v>
      </c>
      <c r="D53" s="11">
        <f t="shared" si="16"/>
        <v>200000</v>
      </c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s">
        <v>2</v>
      </c>
      <c r="D54" s="11">
        <f t="shared" si="16"/>
        <v>232000</v>
      </c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s">
        <v>183</v>
      </c>
      <c r="D55" s="11">
        <f>SUM(D51:D54)</f>
        <v>763027.88</v>
      </c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>
        <f>D50-D55</f>
        <v>336456.12</v>
      </c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s">
        <v>164</v>
      </c>
      <c r="D57" s="11">
        <f>D16+D26+D36+D46</f>
        <v>357036.12</v>
      </c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s">
        <v>166</v>
      </c>
      <c r="D59" s="11">
        <f>D57-D58</f>
        <v>197036.12</v>
      </c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s">
        <v>167</v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s">
        <v>168</v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s">
        <v>169</v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77"/>
  <sheetViews>
    <sheetView tabSelected="1" view="pageBreakPreview" zoomScaleNormal="100" workbookViewId="0">
      <selection activeCell="H43" sqref="H43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s">
        <v>140</v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s">
        <v>170</v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s">
        <v>199</v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s">
        <v>143</v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s">
        <v>172</v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s">
        <v>144</v>
      </c>
      <c r="C8" s="12"/>
      <c r="D8" s="11"/>
      <c r="E8" s="11"/>
      <c r="F8" s="13" t="s">
        <v>173</v>
      </c>
      <c r="G8" s="14"/>
      <c r="H8" s="15" t="s">
        <v>173</v>
      </c>
      <c r="I8" s="15"/>
      <c r="J8" s="16" t="s">
        <v>173</v>
      </c>
      <c r="K8" s="14"/>
      <c r="L8" s="11"/>
    </row>
    <row r="9" s="1" customFormat="1" customHeight="1" spans="2:12">
      <c r="D9" s="17" t="s">
        <v>155</v>
      </c>
      <c r="E9" s="18"/>
      <c r="F9" s="11" t="s">
        <v>174</v>
      </c>
      <c r="G9" s="11"/>
      <c r="H9" s="19" t="s">
        <v>175</v>
      </c>
      <c r="I9" s="11"/>
      <c r="J9" s="19" t="s">
        <v>176</v>
      </c>
      <c r="K9" s="11" t="s">
        <v>177</v>
      </c>
      <c r="L9" s="11"/>
    </row>
    <row r="10" s="2" customFormat="1" customHeight="1" spans="2:12">
      <c r="B10" s="2" t="s">
        <v>4</v>
      </c>
      <c r="C10" s="2" t="s">
        <v>156</v>
      </c>
      <c r="D10" s="20">
        <f t="shared" ref="D10:D12" si="0">SUM(F10:K10)</f>
        <v>240980</v>
      </c>
      <c r="E10" s="20"/>
      <c r="F10" s="21">
        <v>145665</v>
      </c>
      <c r="G10" s="21"/>
      <c r="H10" s="21">
        <v>95315</v>
      </c>
      <c r="I10" s="21"/>
      <c r="J10" s="21"/>
      <c r="K10" s="21"/>
      <c r="L10" s="21"/>
    </row>
    <row r="11" s="1" customFormat="1" customHeight="1" spans="2:12">
      <c r="C11" s="10" t="s">
        <v>0</v>
      </c>
      <c r="D11" s="22">
        <f t="shared" si="0"/>
        <v>37071</v>
      </c>
      <c r="E11" s="23">
        <f>D11/D10</f>
        <v>0.153834343099012</v>
      </c>
      <c r="F11" s="24">
        <f>SEPT!D17</f>
        <v>9555</v>
      </c>
      <c r="G11" s="11"/>
      <c r="H11" s="24">
        <f>SEPT!D6</f>
        <v>27516</v>
      </c>
      <c r="I11" s="11"/>
      <c r="J11" s="11">
        <v>0</v>
      </c>
      <c r="K11" s="11">
        <v>0</v>
      </c>
      <c r="L11" s="11"/>
    </row>
    <row r="12" s="1" customFormat="1" customHeight="1" spans="2:12">
      <c r="C12" s="10" t="s">
        <v>157</v>
      </c>
      <c r="D12" s="22">
        <f t="shared" si="0"/>
        <v>19405</v>
      </c>
      <c r="E12" s="23">
        <f>D12/D10</f>
        <v>0.0805253548012283</v>
      </c>
      <c r="F12" s="24">
        <f>SEPT!I5</f>
        <v>11045</v>
      </c>
      <c r="G12" s="11"/>
      <c r="H12" s="11">
        <v>8360</v>
      </c>
      <c r="I12" s="11"/>
      <c r="J12" s="11">
        <v>0</v>
      </c>
      <c r="K12" s="11">
        <v>0</v>
      </c>
      <c r="L12" s="11"/>
    </row>
    <row r="13" s="1" customFormat="1" customHeight="1" spans="2:12">
      <c r="C13" s="10" t="s">
        <v>158</v>
      </c>
      <c r="D13" s="22">
        <v>50000</v>
      </c>
      <c r="E13" s="23">
        <f>D13/D10</f>
        <v>0.207486098431405</v>
      </c>
      <c r="F13" s="24">
        <v>12500</v>
      </c>
      <c r="G13" s="11"/>
      <c r="H13" s="11">
        <v>12500</v>
      </c>
      <c r="I13" s="11"/>
      <c r="J13" s="11">
        <v>12500</v>
      </c>
      <c r="K13" s="11">
        <v>12500</v>
      </c>
      <c r="L13" s="11"/>
    </row>
    <row r="14" s="1" customFormat="1" customHeight="1" spans="2:12">
      <c r="C14" s="10" t="s">
        <v>159</v>
      </c>
      <c r="D14" s="25">
        <v>58000</v>
      </c>
      <c r="E14" s="26">
        <f>D14/D10</f>
        <v>0.24068387418043</v>
      </c>
      <c r="F14" s="27">
        <v>14500</v>
      </c>
      <c r="G14" s="11"/>
      <c r="H14" s="28">
        <v>14500</v>
      </c>
      <c r="I14" s="11"/>
      <c r="J14" s="29">
        <v>14500</v>
      </c>
      <c r="K14" s="11">
        <v>14500</v>
      </c>
      <c r="L14" s="11"/>
    </row>
    <row r="15" s="3" customFormat="1" customHeight="1" spans="2:12">
      <c r="C15" s="3" t="s">
        <v>160</v>
      </c>
      <c r="D15" s="30">
        <f t="shared" ref="D15:H15" si="1">SUM(D11:D14)</f>
        <v>164476</v>
      </c>
      <c r="E15" s="30">
        <f>D15/D10</f>
        <v>0.682529670512076</v>
      </c>
      <c r="F15" s="31">
        <f t="shared" si="1"/>
        <v>47600</v>
      </c>
      <c r="G15" s="32"/>
      <c r="H15" s="32">
        <f t="shared" si="1"/>
        <v>62876</v>
      </c>
      <c r="I15" s="32"/>
      <c r="J15" s="32">
        <f>SUM(J11:J14)</f>
        <v>27000</v>
      </c>
      <c r="K15" s="32">
        <f>SUM(K11:K14)</f>
        <v>27000</v>
      </c>
      <c r="L15" s="32"/>
    </row>
    <row r="16" s="1" customFormat="1" customHeight="1" spans="2:12">
      <c r="C16" s="33" t="s">
        <v>161</v>
      </c>
      <c r="D16" s="23">
        <f t="shared" ref="D16:H16" si="2">D10-D15</f>
        <v>76504</v>
      </c>
      <c r="E16" s="23">
        <f>D16/D10</f>
        <v>0.317470329487924</v>
      </c>
      <c r="F16" s="24">
        <f t="shared" si="2"/>
        <v>98065</v>
      </c>
      <c r="G16" s="11"/>
      <c r="H16" s="11">
        <f t="shared" si="2"/>
        <v>32439</v>
      </c>
      <c r="I16" s="11"/>
      <c r="J16" s="11">
        <f>J10-J15</f>
        <v>-27000</v>
      </c>
      <c r="K16" s="11">
        <f>K10-K15</f>
        <v>-27000</v>
      </c>
      <c r="L16" s="11"/>
    </row>
    <row r="17" s="1" customFormat="1" customHeight="1" spans="2:12">
      <c r="C17" s="34" t="s">
        <v>162</v>
      </c>
      <c r="D17" s="26">
        <f t="shared" ref="D17:H17" si="3">D10*0.45</f>
        <v>108441</v>
      </c>
      <c r="E17" s="23">
        <f>D17/D10</f>
        <v>0.45</v>
      </c>
      <c r="F17" s="26">
        <f t="shared" si="3"/>
        <v>65549.25</v>
      </c>
      <c r="G17" s="23"/>
      <c r="H17" s="26">
        <f t="shared" si="3"/>
        <v>42891.75</v>
      </c>
      <c r="I17" s="23"/>
      <c r="J17" s="26">
        <f>J10*0.45</f>
        <v>0</v>
      </c>
      <c r="K17" s="11">
        <f>K10*0.45</f>
        <v>0</v>
      </c>
      <c r="L17" s="11"/>
    </row>
    <row r="18" s="4" customFormat="1" customHeight="1" spans="2:12">
      <c r="C18" s="35" t="s">
        <v>163</v>
      </c>
      <c r="D18" s="4">
        <f t="shared" ref="D18:H18" si="4">D16-D17</f>
        <v>-31937</v>
      </c>
      <c r="F18" s="4">
        <f t="shared" si="4"/>
        <v>32515.75</v>
      </c>
      <c r="H18" s="4">
        <f t="shared" si="4"/>
        <v>-10452.75</v>
      </c>
      <c r="J18" s="4">
        <f>J16-J17</f>
        <v>-27000</v>
      </c>
      <c r="K18" s="4">
        <f>K16-K17</f>
        <v>-27000</v>
      </c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s">
        <v>26</v>
      </c>
      <c r="C20" s="2" t="s">
        <v>156</v>
      </c>
      <c r="D20" s="21">
        <f t="shared" ref="D20:D22" si="5">SUM(F20:K20)</f>
        <v>121150</v>
      </c>
      <c r="E20" s="21"/>
      <c r="F20" s="21">
        <v>77250</v>
      </c>
      <c r="G20" s="21"/>
      <c r="H20" s="21">
        <v>43900</v>
      </c>
      <c r="I20" s="21"/>
      <c r="J20" s="21"/>
      <c r="K20" s="21"/>
      <c r="L20" s="21"/>
    </row>
    <row r="21" s="1" customFormat="1" customHeight="1" spans="2:12">
      <c r="C21" s="10" t="s">
        <v>0</v>
      </c>
      <c r="D21" s="23">
        <f t="shared" si="5"/>
        <v>9555</v>
      </c>
      <c r="E21" s="36">
        <f>D21/D20</f>
        <v>0.0788691704498555</v>
      </c>
      <c r="F21" s="24">
        <f>SEPT!D26</f>
        <v>9555</v>
      </c>
      <c r="G21" s="11"/>
      <c r="H21" s="24">
        <f>SEPT!D18</f>
        <v>0</v>
      </c>
      <c r="I21" s="11"/>
      <c r="J21" s="11">
        <v>0</v>
      </c>
      <c r="K21" s="11">
        <f>AUG!D20</f>
        <v>0</v>
      </c>
      <c r="L21" s="11"/>
    </row>
    <row r="22" s="1" customFormat="1" customHeight="1" spans="2:12">
      <c r="C22" s="10" t="s">
        <v>157</v>
      </c>
      <c r="D22" s="23">
        <f t="shared" si="5"/>
        <v>9470</v>
      </c>
      <c r="E22" s="36">
        <f>D22/D20</f>
        <v>0.0781675608749484</v>
      </c>
      <c r="F22" s="24">
        <f>SEPT!I17</f>
        <v>5940</v>
      </c>
      <c r="G22" s="11"/>
      <c r="H22" s="11">
        <v>3530</v>
      </c>
      <c r="I22" s="11"/>
      <c r="J22" s="11">
        <v>0</v>
      </c>
      <c r="K22" s="11">
        <v>0</v>
      </c>
      <c r="L22" s="11"/>
    </row>
    <row r="23" s="1" customFormat="1" customHeight="1" spans="2:12">
      <c r="C23" s="10" t="s">
        <v>158</v>
      </c>
      <c r="D23" s="23">
        <v>50000</v>
      </c>
      <c r="E23" s="36">
        <f>D23/D20</f>
        <v>0.412711514651259</v>
      </c>
      <c r="F23" s="24">
        <v>12500</v>
      </c>
      <c r="G23" s="11"/>
      <c r="H23" s="11">
        <v>12500</v>
      </c>
      <c r="I23" s="11"/>
      <c r="J23" s="11">
        <v>12500</v>
      </c>
      <c r="K23" s="11">
        <v>12500</v>
      </c>
      <c r="L23" s="11"/>
    </row>
    <row r="24" s="1" customFormat="1" customHeight="1" spans="2:12">
      <c r="C24" s="10" t="s">
        <v>159</v>
      </c>
      <c r="D24" s="26">
        <v>58000</v>
      </c>
      <c r="E24" s="36">
        <f>D24/D20</f>
        <v>0.47874535699546</v>
      </c>
      <c r="F24" s="27">
        <v>14500</v>
      </c>
      <c r="G24" s="11"/>
      <c r="H24" s="28">
        <v>14500</v>
      </c>
      <c r="I24" s="11"/>
      <c r="J24" s="29">
        <v>14500</v>
      </c>
      <c r="K24" s="11">
        <v>14500</v>
      </c>
      <c r="L24" s="11"/>
    </row>
    <row r="25" s="3" customFormat="1" customHeight="1" spans="2:12">
      <c r="C25" s="3" t="s">
        <v>160</v>
      </c>
      <c r="D25" s="32">
        <f t="shared" ref="D25:H25" si="6">SUM(D21:D24)</f>
        <v>127025</v>
      </c>
      <c r="E25" s="37">
        <f>D25/D20</f>
        <v>1.04849360297152</v>
      </c>
      <c r="F25" s="31">
        <f t="shared" si="6"/>
        <v>42495</v>
      </c>
      <c r="G25" s="32"/>
      <c r="H25" s="31">
        <f t="shared" si="6"/>
        <v>30530</v>
      </c>
      <c r="I25" s="32"/>
      <c r="J25" s="31">
        <f>SUM(J21:J24)</f>
        <v>27000</v>
      </c>
      <c r="K25" s="32">
        <f>SUM(K21:K24)</f>
        <v>27000</v>
      </c>
      <c r="L25" s="32"/>
    </row>
    <row r="26" s="1" customFormat="1" customHeight="1" spans="2:12">
      <c r="C26" s="33" t="s">
        <v>161</v>
      </c>
      <c r="D26" s="23">
        <f t="shared" ref="D26:H26" si="7">D20-D25</f>
        <v>-5875</v>
      </c>
      <c r="E26" s="36">
        <f>D26/D20</f>
        <v>-0.0484936029715229</v>
      </c>
      <c r="F26" s="24">
        <f t="shared" si="7"/>
        <v>34755</v>
      </c>
      <c r="G26" s="11"/>
      <c r="H26" s="11">
        <f t="shared" si="7"/>
        <v>13370</v>
      </c>
      <c r="I26" s="11"/>
      <c r="J26" s="11">
        <f>SUM(J20-J21-J22-J24)</f>
        <v>-14500</v>
      </c>
      <c r="K26" s="11">
        <f>SUM(K20-K21-K22-K24)</f>
        <v>-14500</v>
      </c>
      <c r="L26" s="11"/>
    </row>
    <row r="27" s="1" customFormat="1" customHeight="1" spans="2:12">
      <c r="C27" s="38" t="s">
        <v>162</v>
      </c>
      <c r="D27" s="26">
        <f t="shared" ref="D27:H27" si="8">D20*0.45</f>
        <v>54517.5</v>
      </c>
      <c r="E27" s="36">
        <f>D27/D20</f>
        <v>0.45</v>
      </c>
      <c r="F27" s="26">
        <f t="shared" si="8"/>
        <v>34762.5</v>
      </c>
      <c r="G27" s="23"/>
      <c r="H27" s="26">
        <f t="shared" si="8"/>
        <v>19755</v>
      </c>
      <c r="I27" s="23"/>
      <c r="J27" s="26">
        <f>J20-J25</f>
        <v>-27000</v>
      </c>
      <c r="K27" s="29">
        <f>K20-K25</f>
        <v>-27000</v>
      </c>
      <c r="L27" s="11"/>
    </row>
    <row r="28" s="5" customFormat="1" customHeight="1" spans="2:12">
      <c r="C28" s="39" t="s">
        <v>163</v>
      </c>
      <c r="D28" s="4">
        <f t="shared" ref="D28:H28" si="9">D26-D27</f>
        <v>-60392.5</v>
      </c>
      <c r="E28" s="4"/>
      <c r="F28" s="4">
        <f t="shared" si="9"/>
        <v>-7.5</v>
      </c>
      <c r="G28" s="4"/>
      <c r="H28" s="4">
        <f t="shared" si="9"/>
        <v>-6385</v>
      </c>
      <c r="I28" s="4"/>
      <c r="J28" s="4">
        <f>J26-J27</f>
        <v>12500</v>
      </c>
      <c r="K28" s="4">
        <f>K26-K27</f>
        <v>12500</v>
      </c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s">
        <v>28</v>
      </c>
      <c r="C30" s="40" t="s">
        <v>156</v>
      </c>
      <c r="D30" s="21">
        <f t="shared" ref="D30:D32" si="10">SUM(F30:K30)</f>
        <v>172155</v>
      </c>
      <c r="E30" s="41"/>
      <c r="F30" s="42">
        <v>59695</v>
      </c>
      <c r="G30" s="42"/>
      <c r="H30" s="43">
        <v>112460</v>
      </c>
      <c r="I30" s="43"/>
      <c r="J30" s="43"/>
      <c r="K30" s="43"/>
      <c r="L30" s="43"/>
    </row>
    <row r="31" s="1" customFormat="1" customHeight="1" spans="2:12">
      <c r="C31" s="10" t="s">
        <v>0</v>
      </c>
      <c r="D31" s="23">
        <f t="shared" si="10"/>
        <v>37071</v>
      </c>
      <c r="E31" s="36">
        <f>D31/D30</f>
        <v>0.215335017861811</v>
      </c>
      <c r="F31" s="24">
        <f>SEPT!D26</f>
        <v>9555</v>
      </c>
      <c r="G31" s="11"/>
      <c r="H31" s="44">
        <f>SEPT!D27</f>
        <v>27516</v>
      </c>
      <c r="I31" s="11"/>
      <c r="J31" s="11">
        <v>0</v>
      </c>
      <c r="K31" s="11">
        <f>AUG!D30</f>
        <v>0</v>
      </c>
      <c r="L31" s="11"/>
    </row>
    <row r="32" s="1" customFormat="1" customHeight="1" spans="2:12">
      <c r="C32" s="10" t="s">
        <v>157</v>
      </c>
      <c r="D32" s="23">
        <f t="shared" si="10"/>
        <v>18015</v>
      </c>
      <c r="E32" s="36">
        <f>D32/D30</f>
        <v>0.104644070750196</v>
      </c>
      <c r="F32" s="24">
        <f>SEPT!I26</f>
        <v>9025</v>
      </c>
      <c r="G32" s="11"/>
      <c r="H32" s="11">
        <v>8990</v>
      </c>
      <c r="I32" s="11"/>
      <c r="J32" s="11">
        <v>0</v>
      </c>
      <c r="K32" s="11">
        <v>0</v>
      </c>
      <c r="L32" s="11"/>
    </row>
    <row r="33" s="1" customFormat="1" customHeight="1" spans="2:12">
      <c r="C33" s="10" t="s">
        <v>158</v>
      </c>
      <c r="D33" s="23">
        <v>50000</v>
      </c>
      <c r="E33" s="36">
        <f>D33/D30</f>
        <v>0.290435944352473</v>
      </c>
      <c r="F33" s="24">
        <v>12500</v>
      </c>
      <c r="G33" s="11"/>
      <c r="H33" s="11">
        <v>12500</v>
      </c>
      <c r="I33" s="11"/>
      <c r="J33" s="11">
        <v>12500</v>
      </c>
      <c r="K33" s="11">
        <v>12500</v>
      </c>
      <c r="L33" s="11"/>
    </row>
    <row r="34" s="1" customFormat="1" customHeight="1" spans="2:12">
      <c r="C34" s="10" t="s">
        <v>159</v>
      </c>
      <c r="D34" s="26">
        <v>58000</v>
      </c>
      <c r="E34" s="36">
        <f>D34/D30</f>
        <v>0.336905695448869</v>
      </c>
      <c r="F34" s="27">
        <v>14500</v>
      </c>
      <c r="G34" s="11"/>
      <c r="H34" s="28">
        <v>14500</v>
      </c>
      <c r="I34" s="11"/>
      <c r="J34" s="29">
        <v>14500</v>
      </c>
      <c r="K34" s="11">
        <v>14500</v>
      </c>
      <c r="L34" s="11"/>
    </row>
    <row r="35" s="7" customFormat="1" customHeight="1" spans="2:12">
      <c r="C35" s="3" t="s">
        <v>160</v>
      </c>
      <c r="D35" s="32">
        <f t="shared" ref="D35:H35" si="11">SUM(D31:D34)</f>
        <v>163086</v>
      </c>
      <c r="E35" s="45">
        <f>D35/D30</f>
        <v>0.947320728413348</v>
      </c>
      <c r="F35" s="32">
        <f t="shared" si="11"/>
        <v>45580</v>
      </c>
      <c r="G35" s="46"/>
      <c r="H35" s="32">
        <f t="shared" si="11"/>
        <v>63506</v>
      </c>
      <c r="I35" s="46"/>
      <c r="J35" s="32">
        <f>SUM(J31:J34)</f>
        <v>27000</v>
      </c>
      <c r="K35" s="46">
        <f>SUM(K31:K34)</f>
        <v>27000</v>
      </c>
      <c r="L35" s="46"/>
    </row>
    <row r="36" s="1" customFormat="1" customHeight="1" spans="2:12">
      <c r="C36" s="33" t="s">
        <v>161</v>
      </c>
      <c r="D36" s="19">
        <f>SUM(F36:J36)</f>
        <v>36069</v>
      </c>
      <c r="E36" s="36">
        <f>D36/D30</f>
        <v>0.209514681536987</v>
      </c>
      <c r="F36" s="24">
        <f t="shared" ref="F36:K36" si="12">F30-F35</f>
        <v>14115</v>
      </c>
      <c r="G36" s="11"/>
      <c r="H36" s="11">
        <f t="shared" si="12"/>
        <v>48954</v>
      </c>
      <c r="I36" s="11"/>
      <c r="J36" s="11">
        <f t="shared" si="12"/>
        <v>-27000</v>
      </c>
      <c r="K36" s="11">
        <f t="shared" si="12"/>
        <v>-27000</v>
      </c>
      <c r="L36" s="11"/>
    </row>
    <row r="37" s="1" customFormat="1" customHeight="1" spans="2:12">
      <c r="C37" s="38" t="s">
        <v>162</v>
      </c>
      <c r="D37" s="26">
        <f t="shared" ref="D37:H37" si="13">D30*0.45</f>
        <v>77469.75</v>
      </c>
      <c r="E37" s="36">
        <f>D37/D30</f>
        <v>0.45</v>
      </c>
      <c r="F37" s="26">
        <f t="shared" si="13"/>
        <v>26862.75</v>
      </c>
      <c r="G37" s="11"/>
      <c r="H37" s="26">
        <f t="shared" si="13"/>
        <v>50607</v>
      </c>
      <c r="I37" s="11"/>
      <c r="J37" s="26">
        <f>J30*0.45</f>
        <v>0</v>
      </c>
      <c r="K37" s="29">
        <f>K30*0.45</f>
        <v>0</v>
      </c>
      <c r="L37" s="11"/>
    </row>
    <row r="38" s="8" customFormat="1" customHeight="1" spans="2:12">
      <c r="C38" s="47" t="s">
        <v>163</v>
      </c>
      <c r="D38" s="4">
        <f t="shared" ref="D38:H38" si="14">SUM(D36-D37)</f>
        <v>-41400.75</v>
      </c>
      <c r="E38" s="48"/>
      <c r="F38" s="4">
        <f t="shared" si="14"/>
        <v>-12747.75</v>
      </c>
      <c r="G38" s="49"/>
      <c r="H38" s="4">
        <f t="shared" si="14"/>
        <v>-1653</v>
      </c>
      <c r="I38" s="49"/>
      <c r="J38" s="4">
        <f>SUM(J36-J37)</f>
        <v>-27000</v>
      </c>
      <c r="K38" s="49">
        <f>K36-K37</f>
        <v>-27000</v>
      </c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s">
        <v>30</v>
      </c>
      <c r="C40" s="40" t="s">
        <v>156</v>
      </c>
      <c r="D40" s="21">
        <f t="shared" ref="D40:D42" si="15">SUM(F40:K40)</f>
        <v>134210</v>
      </c>
      <c r="E40" s="41"/>
      <c r="F40" s="42">
        <v>29300</v>
      </c>
      <c r="G40" s="42"/>
      <c r="H40" s="43">
        <v>104910</v>
      </c>
      <c r="I40" s="43"/>
      <c r="J40" s="43"/>
      <c r="K40" s="43"/>
      <c r="L40" s="43"/>
    </row>
    <row r="41" s="1" customFormat="1" customHeight="1" spans="2:12">
      <c r="C41" s="10" t="s">
        <v>0</v>
      </c>
      <c r="D41" s="23">
        <f t="shared" si="15"/>
        <v>27516</v>
      </c>
      <c r="E41" s="36">
        <f>D41/D40</f>
        <v>0.205021980478355</v>
      </c>
      <c r="F41" s="24">
        <f>SEPT!D37</f>
        <v>0</v>
      </c>
      <c r="G41" s="11"/>
      <c r="H41" s="11">
        <f>SEPT!D38</f>
        <v>27516</v>
      </c>
      <c r="I41" s="11"/>
      <c r="J41" s="11">
        <v>0</v>
      </c>
      <c r="K41" s="11">
        <v>0</v>
      </c>
      <c r="L41" s="11"/>
    </row>
    <row r="42" s="1" customFormat="1" customHeight="1" spans="2:12">
      <c r="C42" s="10" t="s">
        <v>157</v>
      </c>
      <c r="D42" s="23">
        <f t="shared" si="15"/>
        <v>14835</v>
      </c>
      <c r="E42" s="36">
        <f>D42/D40</f>
        <v>0.110535727591089</v>
      </c>
      <c r="F42" s="24">
        <f>SEPT!I37</f>
        <v>4840</v>
      </c>
      <c r="G42" s="11"/>
      <c r="H42" s="11">
        <f>SEPT!I38</f>
        <v>9995</v>
      </c>
      <c r="I42" s="11"/>
      <c r="J42" s="11">
        <v>0</v>
      </c>
      <c r="K42" s="11">
        <v>0</v>
      </c>
      <c r="L42" s="11"/>
    </row>
    <row r="43" s="1" customFormat="1" customHeight="1" spans="2:12">
      <c r="C43" s="10" t="s">
        <v>158</v>
      </c>
      <c r="D43" s="23">
        <v>50000</v>
      </c>
      <c r="E43" s="36">
        <f>D43/D40</f>
        <v>0.37255048059012</v>
      </c>
      <c r="F43" s="24">
        <v>12500</v>
      </c>
      <c r="G43" s="11"/>
      <c r="H43" s="11">
        <v>12500</v>
      </c>
      <c r="I43" s="11"/>
      <c r="J43" s="11">
        <v>12500</v>
      </c>
      <c r="K43" s="11">
        <v>12500</v>
      </c>
      <c r="L43" s="11"/>
    </row>
    <row r="44" s="1" customFormat="1" customHeight="1" spans="2:12">
      <c r="C44" s="10" t="s">
        <v>159</v>
      </c>
      <c r="D44" s="26">
        <v>58000</v>
      </c>
      <c r="E44" s="36">
        <f>D44/D40</f>
        <v>0.432158557484539</v>
      </c>
      <c r="F44" s="27">
        <v>14500</v>
      </c>
      <c r="G44" s="11"/>
      <c r="H44" s="28">
        <v>14500</v>
      </c>
      <c r="I44" s="11"/>
      <c r="J44" s="29">
        <v>14500</v>
      </c>
      <c r="K44" s="29">
        <v>14500</v>
      </c>
      <c r="L44" s="11"/>
    </row>
    <row r="45" s="3" customFormat="1" customHeight="1" spans="2:12">
      <c r="C45" s="3" t="s">
        <v>160</v>
      </c>
      <c r="D45" s="32">
        <f t="shared" ref="D45:H45" si="16">SUM(D41:D44)</f>
        <v>150351</v>
      </c>
      <c r="E45" s="32">
        <f>D45/D40</f>
        <v>1.1202667461441</v>
      </c>
      <c r="F45" s="32">
        <f t="shared" si="16"/>
        <v>31840</v>
      </c>
      <c r="G45" s="32"/>
      <c r="H45" s="32">
        <f t="shared" si="16"/>
        <v>64511</v>
      </c>
      <c r="I45" s="32"/>
      <c r="J45" s="32">
        <f>SUM(J41:J44)</f>
        <v>27000</v>
      </c>
      <c r="K45" s="32">
        <f>SUM(K41:K44)</f>
        <v>27000</v>
      </c>
      <c r="L45" s="32"/>
    </row>
    <row r="46" s="1" customFormat="1" customHeight="1" spans="2:12">
      <c r="C46" s="33" t="s">
        <v>161</v>
      </c>
      <c r="D46" s="23">
        <f t="shared" ref="D46:H46" si="17">D40-D45</f>
        <v>-16141</v>
      </c>
      <c r="E46" s="36">
        <f>D46/D40</f>
        <v>-0.120266746144103</v>
      </c>
      <c r="F46" s="24">
        <f t="shared" si="17"/>
        <v>-2540</v>
      </c>
      <c r="G46" s="11"/>
      <c r="H46" s="11">
        <f t="shared" si="17"/>
        <v>40399</v>
      </c>
      <c r="I46" s="11"/>
      <c r="J46" s="11">
        <f>J40-J45</f>
        <v>-27000</v>
      </c>
      <c r="K46" s="11">
        <f>K40-K45</f>
        <v>-27000</v>
      </c>
      <c r="L46" s="11"/>
    </row>
    <row r="47" s="1" customFormat="1" customHeight="1" spans="2:12">
      <c r="C47" s="38" t="s">
        <v>162</v>
      </c>
      <c r="D47" s="29">
        <f t="shared" ref="D47:H47" si="18">D40*0.45</f>
        <v>60394.5</v>
      </c>
      <c r="E47" s="11">
        <f>D47/D40</f>
        <v>0.45</v>
      </c>
      <c r="F47" s="29">
        <f t="shared" si="18"/>
        <v>13185</v>
      </c>
      <c r="G47" s="11"/>
      <c r="H47" s="29">
        <f t="shared" si="18"/>
        <v>47209.5</v>
      </c>
      <c r="I47" s="11"/>
      <c r="J47" s="29">
        <f>J40*0.45</f>
        <v>0</v>
      </c>
      <c r="K47" s="11">
        <f>K40*0.45</f>
        <v>0</v>
      </c>
      <c r="L47" s="11"/>
    </row>
    <row r="48" s="8" customFormat="1" customHeight="1" spans="2:12">
      <c r="C48" s="47" t="s">
        <v>163</v>
      </c>
      <c r="D48" s="49">
        <f t="shared" ref="D48:H48" si="19">D46-D47</f>
        <v>-76535.5</v>
      </c>
      <c r="E48" s="49"/>
      <c r="F48" s="49">
        <f t="shared" si="19"/>
        <v>-15725</v>
      </c>
      <c r="G48" s="49"/>
      <c r="H48" s="49">
        <f t="shared" si="19"/>
        <v>-6810.5</v>
      </c>
      <c r="I48" s="49"/>
      <c r="J48" s="49">
        <f>J46-J47</f>
        <v>-27000</v>
      </c>
      <c r="K48" s="49">
        <f>K47-K46</f>
        <v>27000</v>
      </c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s">
        <v>3</v>
      </c>
      <c r="D50" s="11">
        <f t="shared" ref="D50:D54" si="20">D10+D20+D30+D40</f>
        <v>668495</v>
      </c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s">
        <v>181</v>
      </c>
      <c r="D51" s="11">
        <f t="shared" si="20"/>
        <v>111213</v>
      </c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s">
        <v>1</v>
      </c>
      <c r="D52" s="11">
        <f t="shared" si="20"/>
        <v>61725</v>
      </c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s">
        <v>182</v>
      </c>
      <c r="D53" s="11">
        <f t="shared" si="20"/>
        <v>200000</v>
      </c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s">
        <v>2</v>
      </c>
      <c r="D54" s="11">
        <f t="shared" si="20"/>
        <v>232000</v>
      </c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s">
        <v>183</v>
      </c>
      <c r="D55" s="11">
        <f>SUM(D51:D54)</f>
        <v>604938</v>
      </c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>
        <f>D50-D55</f>
        <v>63557</v>
      </c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s">
        <v>164</v>
      </c>
      <c r="D57" s="11">
        <f>D16+D26+D36+D46</f>
        <v>90557</v>
      </c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s">
        <v>165</v>
      </c>
      <c r="D58" s="11">
        <v>160000</v>
      </c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s">
        <v>166</v>
      </c>
      <c r="D59" s="11">
        <f>D57-D58</f>
        <v>-69443</v>
      </c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s">
        <v>167</v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s">
        <v>168</v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s">
        <v>169</v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Jan</vt:lpstr>
      <vt:lpstr>Feb</vt:lpstr>
      <vt:lpstr>March</vt:lpstr>
      <vt:lpstr>April </vt:lpstr>
      <vt:lpstr>May</vt:lpstr>
      <vt:lpstr>JUNE</vt:lpstr>
      <vt:lpstr>JULY</vt:lpstr>
      <vt:lpstr>AUG</vt:lpstr>
      <vt:lpstr>SEPT</vt:lpstr>
      <vt:lpstr>Monthly</vt:lpstr>
      <vt:lpstr>Weekly January</vt:lpstr>
      <vt:lpstr>Weekly-February</vt:lpstr>
      <vt:lpstr>Weekly-March</vt:lpstr>
      <vt:lpstr>Weekly-April</vt:lpstr>
      <vt:lpstr>Weekly-May</vt:lpstr>
      <vt:lpstr>Weekly-June</vt:lpstr>
      <vt:lpstr>Weekly-July</vt:lpstr>
      <vt:lpstr>Weekly-Aug</vt:lpstr>
      <vt:lpstr>Weekly-Sept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jara</dc:creator>
  <cp:lastModifiedBy>PC</cp:lastModifiedBy>
  <dcterms:created xsi:type="dcterms:W3CDTF">2026-03-12T13:13:00Z</dcterms:created>
  <cp:lastPrinted>2026-06-20T00:38:00Z</cp:lastPrinted>
  <dcterms:modified xsi:type="dcterms:W3CDTF">2026-09-12T08:53:06Z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11F7D7159C0A43818C8F1B1B60C50E13_12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